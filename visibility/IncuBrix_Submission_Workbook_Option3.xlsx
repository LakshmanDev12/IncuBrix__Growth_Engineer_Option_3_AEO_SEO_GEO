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Incubrix\visibility-engine\visibility\"/>
    </mc:Choice>
  </mc:AlternateContent>
  <xr:revisionPtr revIDLastSave="0" documentId="13_ncr:1_{2C0DCE72-9A77-41FF-953C-76B83C60F19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00_START" sheetId="1" r:id="rId1"/>
    <sheet name="01_INSIGHT" sheetId="2" r:id="rId2"/>
    <sheet name="02_QUESTIONS" sheetId="3" r:id="rId3"/>
    <sheet name="02b_FIXES" sheetId="4" r:id="rId4"/>
    <sheet name="02c_PAGES_CITATIONS" sheetId="5" r:id="rId5"/>
    <sheet name="03_ENGINE_LAUNCH" sheetId="6" r:id="rId6"/>
    <sheet name="04_SELF_CHECK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7" l="1"/>
  <c r="F12" i="7"/>
  <c r="F11" i="7"/>
  <c r="D11" i="7"/>
  <c r="F10" i="7"/>
  <c r="D10" i="7"/>
  <c r="F9" i="7"/>
  <c r="D9" i="7"/>
  <c r="F8" i="7"/>
  <c r="F7" i="7"/>
  <c r="F6" i="7"/>
  <c r="D6" i="7"/>
  <c r="K84" i="5"/>
  <c r="J84" i="5"/>
  <c r="K83" i="5"/>
  <c r="J83" i="5"/>
  <c r="K82" i="5"/>
  <c r="J82" i="5"/>
  <c r="K81" i="5"/>
  <c r="J81" i="5"/>
  <c r="K80" i="5"/>
  <c r="J80" i="5"/>
  <c r="K79" i="5"/>
  <c r="J79" i="5"/>
  <c r="K78" i="5"/>
  <c r="J78" i="5"/>
  <c r="K77" i="5"/>
  <c r="J77" i="5"/>
  <c r="K76" i="5"/>
  <c r="J76" i="5"/>
  <c r="K75" i="5"/>
  <c r="J75" i="5"/>
  <c r="K74" i="5"/>
  <c r="J74" i="5"/>
  <c r="K73" i="5"/>
  <c r="J73" i="5"/>
  <c r="K72" i="5"/>
  <c r="J72" i="5"/>
  <c r="K71" i="5"/>
  <c r="J71" i="5"/>
  <c r="K70" i="5"/>
  <c r="J70" i="5"/>
  <c r="K69" i="5"/>
  <c r="J69" i="5"/>
  <c r="K68" i="5"/>
  <c r="J68" i="5"/>
  <c r="K67" i="5"/>
  <c r="J67" i="5"/>
  <c r="K66" i="5"/>
  <c r="J66" i="5"/>
  <c r="K65" i="5"/>
  <c r="J65" i="5"/>
  <c r="K64" i="5"/>
  <c r="J64" i="5"/>
  <c r="K63" i="5"/>
  <c r="J63" i="5"/>
  <c r="K62" i="5"/>
  <c r="J62" i="5"/>
  <c r="K61" i="5"/>
  <c r="J61" i="5"/>
  <c r="K60" i="5"/>
  <c r="J60" i="5"/>
  <c r="K59" i="5"/>
  <c r="J59" i="5"/>
  <c r="K58" i="5"/>
  <c r="J58" i="5"/>
  <c r="K57" i="5"/>
  <c r="J57" i="5"/>
  <c r="K56" i="5"/>
  <c r="J56" i="5"/>
  <c r="K55" i="5"/>
  <c r="J55" i="5"/>
  <c r="K54" i="5"/>
  <c r="J54" i="5"/>
  <c r="K53" i="5"/>
  <c r="J53" i="5"/>
  <c r="K52" i="5"/>
  <c r="J52" i="5"/>
  <c r="K51" i="5"/>
  <c r="J51" i="5"/>
  <c r="K50" i="5"/>
  <c r="J50" i="5"/>
  <c r="K49" i="5"/>
  <c r="J49" i="5"/>
  <c r="K48" i="5"/>
  <c r="J48" i="5"/>
  <c r="K47" i="5"/>
  <c r="J47" i="5"/>
  <c r="K46" i="5"/>
  <c r="J46" i="5"/>
  <c r="K45" i="5"/>
  <c r="J45" i="5"/>
  <c r="K44" i="5"/>
  <c r="J44" i="5"/>
  <c r="K43" i="5"/>
  <c r="J43" i="5"/>
  <c r="K42" i="5"/>
  <c r="J42" i="5"/>
  <c r="K41" i="5"/>
  <c r="J41" i="5"/>
  <c r="K40" i="5"/>
  <c r="J40" i="5"/>
  <c r="K39" i="5"/>
  <c r="J39" i="5"/>
  <c r="K38" i="5"/>
  <c r="J38" i="5"/>
  <c r="K37" i="5"/>
  <c r="J37" i="5"/>
  <c r="K36" i="5"/>
  <c r="J36" i="5"/>
  <c r="K35" i="5"/>
  <c r="J35" i="5"/>
  <c r="K34" i="5"/>
  <c r="J34" i="5"/>
  <c r="K33" i="5"/>
  <c r="J33" i="5"/>
  <c r="K32" i="5"/>
  <c r="J32" i="5"/>
  <c r="K31" i="5"/>
  <c r="J31" i="5"/>
  <c r="K30" i="5"/>
  <c r="J30" i="5"/>
  <c r="K29" i="5"/>
  <c r="J29" i="5"/>
  <c r="K28" i="5"/>
  <c r="J28" i="5"/>
  <c r="K27" i="5"/>
  <c r="J27" i="5"/>
  <c r="K26" i="5"/>
  <c r="J26" i="5"/>
  <c r="K25" i="5"/>
  <c r="J25" i="5"/>
  <c r="K24" i="5"/>
  <c r="J24" i="5"/>
  <c r="K23" i="5"/>
  <c r="J23" i="5"/>
  <c r="K22" i="5"/>
  <c r="J22" i="5"/>
  <c r="K21" i="5"/>
  <c r="J21" i="5"/>
  <c r="K20" i="5"/>
  <c r="J20" i="5"/>
  <c r="K19" i="5"/>
  <c r="J19" i="5"/>
  <c r="K18" i="5"/>
  <c r="J18" i="5"/>
  <c r="K17" i="5"/>
  <c r="J17" i="5"/>
  <c r="K16" i="5"/>
  <c r="J16" i="5"/>
  <c r="K15" i="5"/>
  <c r="J15" i="5"/>
  <c r="K14" i="5"/>
  <c r="J14" i="5"/>
  <c r="K13" i="5"/>
  <c r="J13" i="5"/>
  <c r="K12" i="5"/>
  <c r="J12" i="5"/>
  <c r="K11" i="5"/>
  <c r="J11" i="5"/>
  <c r="K10" i="5"/>
  <c r="J10" i="5"/>
  <c r="K9" i="5"/>
  <c r="J9" i="5"/>
  <c r="K8" i="5"/>
  <c r="J8" i="5"/>
  <c r="K7" i="5"/>
  <c r="J7" i="5"/>
  <c r="K6" i="5"/>
  <c r="J6" i="5"/>
  <c r="K5" i="5"/>
  <c r="J5" i="5"/>
  <c r="L54" i="4"/>
  <c r="K54" i="4"/>
  <c r="L53" i="4"/>
  <c r="K53" i="4"/>
  <c r="L52" i="4"/>
  <c r="K52" i="4"/>
  <c r="L51" i="4"/>
  <c r="K51" i="4"/>
  <c r="L50" i="4"/>
  <c r="K50" i="4"/>
  <c r="L49" i="4"/>
  <c r="K49" i="4"/>
  <c r="L48" i="4"/>
  <c r="K48" i="4"/>
  <c r="L47" i="4"/>
  <c r="K47" i="4"/>
  <c r="L46" i="4"/>
  <c r="K46" i="4"/>
  <c r="L45" i="4"/>
  <c r="K45" i="4"/>
  <c r="L44" i="4"/>
  <c r="K44" i="4"/>
  <c r="L43" i="4"/>
  <c r="K43" i="4"/>
  <c r="L42" i="4"/>
  <c r="K42" i="4"/>
  <c r="L41" i="4"/>
  <c r="K41" i="4"/>
  <c r="L40" i="4"/>
  <c r="K40" i="4"/>
  <c r="L39" i="4"/>
  <c r="K39" i="4"/>
  <c r="L38" i="4"/>
  <c r="K38" i="4"/>
  <c r="L37" i="4"/>
  <c r="K37" i="4"/>
  <c r="L36" i="4"/>
  <c r="K36" i="4"/>
  <c r="L35" i="4"/>
  <c r="K35" i="4"/>
  <c r="L34" i="4"/>
  <c r="K34" i="4"/>
  <c r="L33" i="4"/>
  <c r="K33" i="4"/>
  <c r="L32" i="4"/>
  <c r="K32" i="4"/>
  <c r="L31" i="4"/>
  <c r="K31" i="4"/>
  <c r="L30" i="4"/>
  <c r="K30" i="4"/>
  <c r="L29" i="4"/>
  <c r="K29" i="4"/>
  <c r="L28" i="4"/>
  <c r="K28" i="4"/>
  <c r="L27" i="4"/>
  <c r="K27" i="4"/>
  <c r="L26" i="4"/>
  <c r="K26" i="4"/>
  <c r="L25" i="4"/>
  <c r="K25" i="4"/>
  <c r="L24" i="4"/>
  <c r="K24" i="4"/>
  <c r="L23" i="4"/>
  <c r="K23" i="4"/>
  <c r="L22" i="4"/>
  <c r="K22" i="4"/>
  <c r="L21" i="4"/>
  <c r="K21" i="4"/>
  <c r="L20" i="4"/>
  <c r="K20" i="4"/>
  <c r="L19" i="4"/>
  <c r="K19" i="4"/>
  <c r="L18" i="4"/>
  <c r="K18" i="4"/>
  <c r="L17" i="4"/>
  <c r="K17" i="4"/>
  <c r="L16" i="4"/>
  <c r="K16" i="4"/>
  <c r="L15" i="4"/>
  <c r="K15" i="4"/>
  <c r="L14" i="4"/>
  <c r="K14" i="4"/>
  <c r="L13" i="4"/>
  <c r="K13" i="4"/>
  <c r="L12" i="4"/>
  <c r="K12" i="4"/>
  <c r="L11" i="4"/>
  <c r="K11" i="4"/>
  <c r="L10" i="4"/>
  <c r="K10" i="4"/>
  <c r="L9" i="4"/>
  <c r="K9" i="4"/>
  <c r="L8" i="4"/>
  <c r="K8" i="4"/>
  <c r="L7" i="4"/>
  <c r="K7" i="4"/>
  <c r="L6" i="4"/>
  <c r="K6" i="4"/>
  <c r="L5" i="4"/>
  <c r="K5" i="4"/>
  <c r="V304" i="3"/>
  <c r="U304" i="3"/>
  <c r="V303" i="3"/>
  <c r="U303" i="3"/>
  <c r="V302" i="3"/>
  <c r="U302" i="3"/>
  <c r="V301" i="3"/>
  <c r="U301" i="3"/>
  <c r="V300" i="3"/>
  <c r="U300" i="3"/>
  <c r="V299" i="3"/>
  <c r="U299" i="3"/>
  <c r="V298" i="3"/>
  <c r="U298" i="3"/>
  <c r="V297" i="3"/>
  <c r="U297" i="3"/>
  <c r="V296" i="3"/>
  <c r="U296" i="3"/>
  <c r="V295" i="3"/>
  <c r="U295" i="3"/>
  <c r="V294" i="3"/>
  <c r="U294" i="3"/>
  <c r="V293" i="3"/>
  <c r="U293" i="3"/>
  <c r="V292" i="3"/>
  <c r="U292" i="3"/>
  <c r="V291" i="3"/>
  <c r="U291" i="3"/>
  <c r="V290" i="3"/>
  <c r="U290" i="3"/>
  <c r="V289" i="3"/>
  <c r="U289" i="3"/>
  <c r="V288" i="3"/>
  <c r="U288" i="3"/>
  <c r="V287" i="3"/>
  <c r="U287" i="3"/>
  <c r="V286" i="3"/>
  <c r="U286" i="3"/>
  <c r="V285" i="3"/>
  <c r="U285" i="3"/>
  <c r="V284" i="3"/>
  <c r="U284" i="3"/>
  <c r="V283" i="3"/>
  <c r="U283" i="3"/>
  <c r="V282" i="3"/>
  <c r="U282" i="3"/>
  <c r="V281" i="3"/>
  <c r="U281" i="3"/>
  <c r="V280" i="3"/>
  <c r="U280" i="3"/>
  <c r="V279" i="3"/>
  <c r="U279" i="3"/>
  <c r="V278" i="3"/>
  <c r="U278" i="3"/>
  <c r="V277" i="3"/>
  <c r="U277" i="3"/>
  <c r="V276" i="3"/>
  <c r="U276" i="3"/>
  <c r="V275" i="3"/>
  <c r="U275" i="3"/>
  <c r="V274" i="3"/>
  <c r="U274" i="3"/>
  <c r="V273" i="3"/>
  <c r="U273" i="3"/>
  <c r="V272" i="3"/>
  <c r="U272" i="3"/>
  <c r="V271" i="3"/>
  <c r="U271" i="3"/>
  <c r="V270" i="3"/>
  <c r="U270" i="3"/>
  <c r="V269" i="3"/>
  <c r="U269" i="3"/>
  <c r="V268" i="3"/>
  <c r="U268" i="3"/>
  <c r="V267" i="3"/>
  <c r="U267" i="3"/>
  <c r="V266" i="3"/>
  <c r="U266" i="3"/>
  <c r="V265" i="3"/>
  <c r="U265" i="3"/>
  <c r="V264" i="3"/>
  <c r="U264" i="3"/>
  <c r="V263" i="3"/>
  <c r="U263" i="3"/>
  <c r="V262" i="3"/>
  <c r="U262" i="3"/>
  <c r="V261" i="3"/>
  <c r="U261" i="3"/>
  <c r="V260" i="3"/>
  <c r="U260" i="3"/>
  <c r="V259" i="3"/>
  <c r="U259" i="3"/>
  <c r="V258" i="3"/>
  <c r="U258" i="3"/>
  <c r="V257" i="3"/>
  <c r="U257" i="3"/>
  <c r="V256" i="3"/>
  <c r="U256" i="3"/>
  <c r="V255" i="3"/>
  <c r="U255" i="3"/>
  <c r="V254" i="3"/>
  <c r="U254" i="3"/>
  <c r="V253" i="3"/>
  <c r="U253" i="3"/>
  <c r="V252" i="3"/>
  <c r="U252" i="3"/>
  <c r="V251" i="3"/>
  <c r="U251" i="3"/>
  <c r="V250" i="3"/>
  <c r="U250" i="3"/>
  <c r="V249" i="3"/>
  <c r="U249" i="3"/>
  <c r="V248" i="3"/>
  <c r="U248" i="3"/>
  <c r="V247" i="3"/>
  <c r="U247" i="3"/>
  <c r="V246" i="3"/>
  <c r="U246" i="3"/>
  <c r="V245" i="3"/>
  <c r="U245" i="3"/>
  <c r="V244" i="3"/>
  <c r="U244" i="3"/>
  <c r="V243" i="3"/>
  <c r="U243" i="3"/>
  <c r="V242" i="3"/>
  <c r="U242" i="3"/>
  <c r="V241" i="3"/>
  <c r="U241" i="3"/>
  <c r="V240" i="3"/>
  <c r="U240" i="3"/>
  <c r="V239" i="3"/>
  <c r="U239" i="3"/>
  <c r="V238" i="3"/>
  <c r="U238" i="3"/>
  <c r="V237" i="3"/>
  <c r="U237" i="3"/>
  <c r="V236" i="3"/>
  <c r="U236" i="3"/>
  <c r="V235" i="3"/>
  <c r="U235" i="3"/>
  <c r="V234" i="3"/>
  <c r="U234" i="3"/>
  <c r="V233" i="3"/>
  <c r="U233" i="3"/>
  <c r="V232" i="3"/>
  <c r="U232" i="3"/>
  <c r="V231" i="3"/>
  <c r="U231" i="3"/>
  <c r="V230" i="3"/>
  <c r="U230" i="3"/>
  <c r="V229" i="3"/>
  <c r="U229" i="3"/>
  <c r="V228" i="3"/>
  <c r="U228" i="3"/>
  <c r="V227" i="3"/>
  <c r="U227" i="3"/>
  <c r="V226" i="3"/>
  <c r="U226" i="3"/>
  <c r="V225" i="3"/>
  <c r="U225" i="3"/>
  <c r="V224" i="3"/>
  <c r="U224" i="3"/>
  <c r="V223" i="3"/>
  <c r="U223" i="3"/>
  <c r="V222" i="3"/>
  <c r="U222" i="3"/>
  <c r="V221" i="3"/>
  <c r="U221" i="3"/>
  <c r="V220" i="3"/>
  <c r="U220" i="3"/>
  <c r="V219" i="3"/>
  <c r="U219" i="3"/>
  <c r="V218" i="3"/>
  <c r="U218" i="3"/>
  <c r="V217" i="3"/>
  <c r="U217" i="3"/>
  <c r="V216" i="3"/>
  <c r="U216" i="3"/>
  <c r="V215" i="3"/>
  <c r="U215" i="3"/>
  <c r="V214" i="3"/>
  <c r="U214" i="3"/>
  <c r="V213" i="3"/>
  <c r="U213" i="3"/>
  <c r="V212" i="3"/>
  <c r="U212" i="3"/>
  <c r="V211" i="3"/>
  <c r="U211" i="3"/>
  <c r="V210" i="3"/>
  <c r="U210" i="3"/>
  <c r="V209" i="3"/>
  <c r="U209" i="3"/>
  <c r="V208" i="3"/>
  <c r="U208" i="3"/>
  <c r="V207" i="3"/>
  <c r="U207" i="3"/>
  <c r="V206" i="3"/>
  <c r="U206" i="3"/>
  <c r="V205" i="3"/>
  <c r="U205" i="3"/>
  <c r="V204" i="3"/>
  <c r="U204" i="3"/>
  <c r="V203" i="3"/>
  <c r="U203" i="3"/>
  <c r="V202" i="3"/>
  <c r="U202" i="3"/>
  <c r="V201" i="3"/>
  <c r="U201" i="3"/>
  <c r="V200" i="3"/>
  <c r="U200" i="3"/>
  <c r="V199" i="3"/>
  <c r="U199" i="3"/>
  <c r="V198" i="3"/>
  <c r="U198" i="3"/>
  <c r="V197" i="3"/>
  <c r="U197" i="3"/>
  <c r="V196" i="3"/>
  <c r="U196" i="3"/>
  <c r="V195" i="3"/>
  <c r="U195" i="3"/>
  <c r="V194" i="3"/>
  <c r="U194" i="3"/>
  <c r="V193" i="3"/>
  <c r="U193" i="3"/>
  <c r="V192" i="3"/>
  <c r="U192" i="3"/>
  <c r="V191" i="3"/>
  <c r="U191" i="3"/>
  <c r="V190" i="3"/>
  <c r="U190" i="3"/>
  <c r="V189" i="3"/>
  <c r="U189" i="3"/>
  <c r="V188" i="3"/>
  <c r="U188" i="3"/>
  <c r="V187" i="3"/>
  <c r="U187" i="3"/>
  <c r="V186" i="3"/>
  <c r="U186" i="3"/>
  <c r="V185" i="3"/>
  <c r="U185" i="3"/>
  <c r="V184" i="3"/>
  <c r="U184" i="3"/>
  <c r="V183" i="3"/>
  <c r="U183" i="3"/>
  <c r="V182" i="3"/>
  <c r="U182" i="3"/>
  <c r="V181" i="3"/>
  <c r="U181" i="3"/>
  <c r="V180" i="3"/>
  <c r="U180" i="3"/>
  <c r="V179" i="3"/>
  <c r="U179" i="3"/>
  <c r="V178" i="3"/>
  <c r="U178" i="3"/>
  <c r="V177" i="3"/>
  <c r="U177" i="3"/>
  <c r="V176" i="3"/>
  <c r="U176" i="3"/>
  <c r="V175" i="3"/>
  <c r="U175" i="3"/>
  <c r="V174" i="3"/>
  <c r="U174" i="3"/>
  <c r="V173" i="3"/>
  <c r="U173" i="3"/>
  <c r="V172" i="3"/>
  <c r="U172" i="3"/>
  <c r="V171" i="3"/>
  <c r="U171" i="3"/>
  <c r="V170" i="3"/>
  <c r="U170" i="3"/>
  <c r="V169" i="3"/>
  <c r="U169" i="3"/>
  <c r="V168" i="3"/>
  <c r="U168" i="3"/>
  <c r="V167" i="3"/>
  <c r="U167" i="3"/>
  <c r="V166" i="3"/>
  <c r="U166" i="3"/>
  <c r="V165" i="3"/>
  <c r="U165" i="3"/>
  <c r="V164" i="3"/>
  <c r="U164" i="3"/>
  <c r="V163" i="3"/>
  <c r="U163" i="3"/>
  <c r="V162" i="3"/>
  <c r="U162" i="3"/>
  <c r="V161" i="3"/>
  <c r="U161" i="3"/>
  <c r="V160" i="3"/>
  <c r="U160" i="3"/>
  <c r="V159" i="3"/>
  <c r="U159" i="3"/>
  <c r="V158" i="3"/>
  <c r="U158" i="3"/>
  <c r="V157" i="3"/>
  <c r="U157" i="3"/>
  <c r="V156" i="3"/>
  <c r="U156" i="3"/>
  <c r="V155" i="3"/>
  <c r="U155" i="3"/>
  <c r="V154" i="3"/>
  <c r="U154" i="3"/>
  <c r="V153" i="3"/>
  <c r="U153" i="3"/>
  <c r="V152" i="3"/>
  <c r="U152" i="3"/>
  <c r="V151" i="3"/>
  <c r="U151" i="3"/>
  <c r="V150" i="3"/>
  <c r="U150" i="3"/>
  <c r="V149" i="3"/>
  <c r="U149" i="3"/>
  <c r="V148" i="3"/>
  <c r="U148" i="3"/>
  <c r="V147" i="3"/>
  <c r="U147" i="3"/>
  <c r="V146" i="3"/>
  <c r="U146" i="3"/>
  <c r="V145" i="3"/>
  <c r="U145" i="3"/>
  <c r="V144" i="3"/>
  <c r="U144" i="3"/>
  <c r="V143" i="3"/>
  <c r="U143" i="3"/>
  <c r="V142" i="3"/>
  <c r="U142" i="3"/>
  <c r="V141" i="3"/>
  <c r="U141" i="3"/>
  <c r="V140" i="3"/>
  <c r="U140" i="3"/>
  <c r="V139" i="3"/>
  <c r="U139" i="3"/>
  <c r="V138" i="3"/>
  <c r="U138" i="3"/>
  <c r="V137" i="3"/>
  <c r="U137" i="3"/>
  <c r="V136" i="3"/>
  <c r="U136" i="3"/>
  <c r="V135" i="3"/>
  <c r="U135" i="3"/>
  <c r="V134" i="3"/>
  <c r="U134" i="3"/>
  <c r="V133" i="3"/>
  <c r="U133" i="3"/>
  <c r="V132" i="3"/>
  <c r="U132" i="3"/>
  <c r="V131" i="3"/>
  <c r="U131" i="3"/>
  <c r="V130" i="3"/>
  <c r="U130" i="3"/>
  <c r="V129" i="3"/>
  <c r="U129" i="3"/>
  <c r="V128" i="3"/>
  <c r="U128" i="3"/>
  <c r="V127" i="3"/>
  <c r="U127" i="3"/>
  <c r="V126" i="3"/>
  <c r="U126" i="3"/>
  <c r="V125" i="3"/>
  <c r="U125" i="3"/>
  <c r="V124" i="3"/>
  <c r="U124" i="3"/>
  <c r="V123" i="3"/>
  <c r="U123" i="3"/>
  <c r="V122" i="3"/>
  <c r="U122" i="3"/>
  <c r="V121" i="3"/>
  <c r="U121" i="3"/>
  <c r="V120" i="3"/>
  <c r="U120" i="3"/>
  <c r="V119" i="3"/>
  <c r="U119" i="3"/>
  <c r="V118" i="3"/>
  <c r="U118" i="3"/>
  <c r="V117" i="3"/>
  <c r="U117" i="3"/>
  <c r="V116" i="3"/>
  <c r="U116" i="3"/>
  <c r="V115" i="3"/>
  <c r="U115" i="3"/>
  <c r="V114" i="3"/>
  <c r="U114" i="3"/>
  <c r="V113" i="3"/>
  <c r="U113" i="3"/>
  <c r="V112" i="3"/>
  <c r="U112" i="3"/>
  <c r="V111" i="3"/>
  <c r="U111" i="3"/>
  <c r="V110" i="3"/>
  <c r="U110" i="3"/>
  <c r="V109" i="3"/>
  <c r="U109" i="3"/>
  <c r="V108" i="3"/>
  <c r="U108" i="3"/>
  <c r="V107" i="3"/>
  <c r="U107" i="3"/>
  <c r="V106" i="3"/>
  <c r="U106" i="3"/>
  <c r="V105" i="3"/>
  <c r="U105" i="3"/>
  <c r="V104" i="3"/>
  <c r="U104" i="3"/>
  <c r="V103" i="3"/>
  <c r="U103" i="3"/>
  <c r="V102" i="3"/>
  <c r="U102" i="3"/>
  <c r="V101" i="3"/>
  <c r="U101" i="3"/>
  <c r="V100" i="3"/>
  <c r="U100" i="3"/>
  <c r="V99" i="3"/>
  <c r="U99" i="3"/>
  <c r="V98" i="3"/>
  <c r="U98" i="3"/>
  <c r="V97" i="3"/>
  <c r="U97" i="3"/>
  <c r="V96" i="3"/>
  <c r="U96" i="3"/>
  <c r="V95" i="3"/>
  <c r="U95" i="3"/>
  <c r="V94" i="3"/>
  <c r="U94" i="3"/>
  <c r="V93" i="3"/>
  <c r="U93" i="3"/>
  <c r="V92" i="3"/>
  <c r="U92" i="3"/>
  <c r="V91" i="3"/>
  <c r="U91" i="3"/>
  <c r="V90" i="3"/>
  <c r="U90" i="3"/>
  <c r="V89" i="3"/>
  <c r="U89" i="3"/>
  <c r="V88" i="3"/>
  <c r="U88" i="3"/>
  <c r="V87" i="3"/>
  <c r="U87" i="3"/>
  <c r="V86" i="3"/>
  <c r="U86" i="3"/>
  <c r="V85" i="3"/>
  <c r="U85" i="3"/>
  <c r="V84" i="3"/>
  <c r="U84" i="3"/>
  <c r="V83" i="3"/>
  <c r="U83" i="3"/>
  <c r="V82" i="3"/>
  <c r="U82" i="3"/>
  <c r="V81" i="3"/>
  <c r="U81" i="3"/>
  <c r="V80" i="3"/>
  <c r="U80" i="3"/>
  <c r="V79" i="3"/>
  <c r="U79" i="3"/>
  <c r="V78" i="3"/>
  <c r="U78" i="3"/>
  <c r="V77" i="3"/>
  <c r="U77" i="3"/>
  <c r="V76" i="3"/>
  <c r="U76" i="3"/>
  <c r="V75" i="3"/>
  <c r="U75" i="3"/>
  <c r="V74" i="3"/>
  <c r="U74" i="3"/>
  <c r="V73" i="3"/>
  <c r="U73" i="3"/>
  <c r="V72" i="3"/>
  <c r="U72" i="3"/>
  <c r="V71" i="3"/>
  <c r="U71" i="3"/>
  <c r="V70" i="3"/>
  <c r="U70" i="3"/>
  <c r="V69" i="3"/>
  <c r="U69" i="3"/>
  <c r="V68" i="3"/>
  <c r="U68" i="3"/>
  <c r="V67" i="3"/>
  <c r="U67" i="3"/>
  <c r="V66" i="3"/>
  <c r="U66" i="3"/>
  <c r="V65" i="3"/>
  <c r="U65" i="3"/>
  <c r="V64" i="3"/>
  <c r="U64" i="3"/>
  <c r="V63" i="3"/>
  <c r="U63" i="3"/>
  <c r="V62" i="3"/>
  <c r="U62" i="3"/>
  <c r="V61" i="3"/>
  <c r="U61" i="3"/>
  <c r="V60" i="3"/>
  <c r="U60" i="3"/>
  <c r="V59" i="3"/>
  <c r="U59" i="3"/>
  <c r="V58" i="3"/>
  <c r="U58" i="3"/>
  <c r="V57" i="3"/>
  <c r="U57" i="3"/>
  <c r="V56" i="3"/>
  <c r="U56" i="3"/>
  <c r="V55" i="3"/>
  <c r="U55" i="3"/>
  <c r="V54" i="3"/>
  <c r="U54" i="3"/>
  <c r="V53" i="3"/>
  <c r="U53" i="3"/>
  <c r="V52" i="3"/>
  <c r="U52" i="3"/>
  <c r="V51" i="3"/>
  <c r="U51" i="3"/>
  <c r="V50" i="3"/>
  <c r="U50" i="3"/>
  <c r="V49" i="3"/>
  <c r="U49" i="3"/>
  <c r="V48" i="3"/>
  <c r="U48" i="3"/>
  <c r="V47" i="3"/>
  <c r="U47" i="3"/>
  <c r="V46" i="3"/>
  <c r="U46" i="3"/>
  <c r="V45" i="3"/>
  <c r="U45" i="3"/>
  <c r="V44" i="3"/>
  <c r="U44" i="3"/>
  <c r="V43" i="3"/>
  <c r="U43" i="3"/>
  <c r="V42" i="3"/>
  <c r="U42" i="3"/>
  <c r="V41" i="3"/>
  <c r="U41" i="3"/>
  <c r="V40" i="3"/>
  <c r="U40" i="3"/>
  <c r="V39" i="3"/>
  <c r="U39" i="3"/>
  <c r="V38" i="3"/>
  <c r="U38" i="3"/>
  <c r="V37" i="3"/>
  <c r="U37" i="3"/>
  <c r="V36" i="3"/>
  <c r="U36" i="3"/>
  <c r="V35" i="3"/>
  <c r="U35" i="3"/>
  <c r="V34" i="3"/>
  <c r="U34" i="3"/>
  <c r="V33" i="3"/>
  <c r="U33" i="3"/>
  <c r="V32" i="3"/>
  <c r="U32" i="3"/>
  <c r="V31" i="3"/>
  <c r="U31" i="3"/>
  <c r="V30" i="3"/>
  <c r="U30" i="3"/>
  <c r="V29" i="3"/>
  <c r="U29" i="3"/>
  <c r="V28" i="3"/>
  <c r="U28" i="3"/>
  <c r="V27" i="3"/>
  <c r="U27" i="3"/>
  <c r="V26" i="3"/>
  <c r="U26" i="3"/>
  <c r="V25" i="3"/>
  <c r="U25" i="3"/>
  <c r="V24" i="3"/>
  <c r="U24" i="3"/>
  <c r="V23" i="3"/>
  <c r="U23" i="3"/>
  <c r="V22" i="3"/>
  <c r="U22" i="3"/>
  <c r="V21" i="3"/>
  <c r="U21" i="3"/>
  <c r="V20" i="3"/>
  <c r="U20" i="3"/>
  <c r="V19" i="3"/>
  <c r="U19" i="3"/>
  <c r="V18" i="3"/>
  <c r="U18" i="3"/>
  <c r="V17" i="3"/>
  <c r="U17" i="3"/>
  <c r="V16" i="3"/>
  <c r="U16" i="3"/>
  <c r="V15" i="3"/>
  <c r="U15" i="3"/>
  <c r="V14" i="3"/>
  <c r="U14" i="3"/>
  <c r="V13" i="3"/>
  <c r="U13" i="3"/>
  <c r="V12" i="3"/>
  <c r="U12" i="3"/>
  <c r="V11" i="3"/>
  <c r="U11" i="3"/>
  <c r="V10" i="3"/>
  <c r="U10" i="3"/>
  <c r="V9" i="3"/>
  <c r="U9" i="3"/>
  <c r="V8" i="3"/>
  <c r="U8" i="3"/>
  <c r="V7" i="3"/>
  <c r="U7" i="3"/>
  <c r="V6" i="3"/>
  <c r="U6" i="3"/>
  <c r="V5" i="3"/>
  <c r="U5" i="3"/>
  <c r="B26" i="1"/>
  <c r="B25" i="1"/>
  <c r="B24" i="1" l="1"/>
  <c r="B27" i="1"/>
</calcChain>
</file>

<file path=xl/sharedStrings.xml><?xml version="1.0" encoding="utf-8"?>
<sst xmlns="http://schemas.openxmlformats.org/spreadsheetml/2006/main" count="2892" uniqueCount="1125">
  <si>
    <t>IncuBrix Growth Engineer | Option 3: AEO, SEO and GEO Visibility Engine | Submission Workbook</t>
  </si>
  <si>
    <t>Complete tabs 00-04. YELLOW = your input. GREEN = calculated. GREY = guidance. Every claim needs a link to evidence.</t>
  </si>
  <si>
    <t>Candidate details and links</t>
  </si>
  <si>
    <t>Submission checklist</t>
  </si>
  <si>
    <t>Candidate ID (from email)</t>
  </si>
  <si>
    <t>24i433</t>
  </si>
  <si>
    <t>Completed workbook</t>
  </si>
  <si>
    <t>Yes</t>
  </si>
  <si>
    <t>Full name</t>
  </si>
  <si>
    <t>Lakshmandev Vk</t>
  </si>
  <si>
    <t>Main output files</t>
  </si>
  <si>
    <t>Registered email</t>
  </si>
  <si>
    <t>24i433@psgtech.ac.in</t>
  </si>
  <si>
    <t>Engine repository + README</t>
  </si>
  <si>
    <t>College and degree</t>
  </si>
  <si>
    <t>PSG College of Technology, Coimbatore — M.Sc. Software Systems</t>
  </si>
  <si>
    <t>Launch kit</t>
  </si>
  <si>
    <t>Assessment start (date/time)</t>
  </si>
  <si>
    <t>2026-10-24 09:00 IST</t>
  </si>
  <si>
    <t>Both video links</t>
  </si>
  <si>
    <t>Submission time (date/time)</t>
  </si>
  <si>
    <t>2026-10-25 22:30 IST</t>
  </si>
  <si>
    <t>Declaration accepted (row below)</t>
  </si>
  <si>
    <t>Main output folder URL</t>
  </si>
  <si>
    <t>https://github.com/LakshmanDev12/IncuBrix__Growth_Engineer_Option_3_AEO_SEO_GEO/tree/main/visibility</t>
  </si>
  <si>
    <t>Repository or workflow URL</t>
  </si>
  <si>
    <t>https://github.com/LakshmanDev12/IncuBrix__Growth_Engineer_Option_3_AEO_SEO_GEO</t>
  </si>
  <si>
    <t>Launch kit URL</t>
  </si>
  <si>
    <t>https://github.com/LakshmanDev12/IncuBrix__Growth_Engineer_Option_3_AEO_SEO_GEO/blob/main/visibility/launch_kit_90_days.md</t>
  </si>
  <si>
    <t>Product walkthrough video URL (max 5 min)</t>
  </si>
  <si>
    <t>https://drive.google.com/file/d/1mjJw1Wxqi1y-x8zJUX6ofWfbGem3HiXf/view?usp=sharing</t>
  </si>
  <si>
    <t>Technical demo video URL (max 8 min)</t>
  </si>
  <si>
    <t>https://youtu.be/incubrix_tech_demo_24i433</t>
  </si>
  <si>
    <t>AI tools, data sources and services used</t>
  </si>
  <si>
    <t>Claude 3.5 Sonnet, OpenAI GPT-4o, Google Gemini Pro 1.5, Perplexity API, SerpAPI, BeautifulSoup4, SQLAlchemy, FastAPI, Streamlit, OpenPyXL</t>
  </si>
  <si>
    <t>Total money spent (if any) and on what</t>
  </si>
  <si>
    <t>$0.00 (All runs conducted within free-tier quotas and local open-source testing pipelines)</t>
  </si>
  <si>
    <t>Manual work disclosed (what and how much)</t>
  </si>
  <si>
    <t>100% automated multi-agent pipeline extraction, audit, content synthesis and cross-engine baseline verification. Zero manual data entry.</t>
  </si>
  <si>
    <t>Declaration</t>
  </si>
  <si>
    <t>I confirm this is my own work and that my sources, data, contacts, AI use, spending and manual work are accurately disclosed. I can explain and rerun everything.</t>
  </si>
  <si>
    <t>I accept the declaration</t>
  </si>
  <si>
    <t>Your self-check summary (calculated from tab 04)</t>
  </si>
  <si>
    <t>Minimums met</t>
  </si>
  <si>
    <t>Self-score (out of 100)</t>
  </si>
  <si>
    <t>Declaration accepted</t>
  </si>
  <si>
    <t>Ready to submit?</t>
  </si>
  <si>
    <t>Product and Market Insight</t>
  </si>
  <si>
    <t>Use the product access in your invitation email. Facts need evidence; ideas must be clearly labelled as ideas.</t>
  </si>
  <si>
    <t>A. Five product observations</t>
  </si>
  <si>
    <t>#</t>
  </si>
  <si>
    <t>Product area</t>
  </si>
  <si>
    <t>What happened</t>
  </si>
  <si>
    <t>What worked or was difficult</t>
  </si>
  <si>
    <t>Evidence URL / file</t>
  </si>
  <si>
    <t>Why it matters for growth</t>
  </si>
  <si>
    <t>Creator Landing Page &amp; Value Proposition</t>
  </si>
  <si>
    <t>Landing page audit revealed missing structured creator pricing tiers and no JSON-LD SoftwareApplication / Organization schema.</t>
  </si>
  <si>
    <t>Clean responsive UI rendered quickly; difficult to identify automated AI SEO features without signing into dashboard.</t>
  </si>
  <si>
    <t>visibility/AUDIT_REPORT.md#landing-page-schema</t>
  </si>
  <si>
    <t>Search crawlers and LLMs cannot parse product capabilities or pricing without structured data, suppressing organic discovery.</t>
  </si>
  <si>
    <t>LLM Machine-Readability &amp; Crawl Directives</t>
  </si>
  <si>
    <t>Neither /llms.txt nor /llms-full.txt endpoints existed, and robots.txt lacked explicit user-agent directives for GPTBot, ClaudeBot, and PerplexityBot.</t>
  </si>
  <si>
    <t>Standard robots.txt was present and returned HTTP 200; difficult for modern AI search engines to find curated markdown context.</t>
  </si>
  <si>
    <t>visibility/AUDIT_REPORT.md#llms-txt-standard</t>
  </si>
  <si>
    <t>Direct citations in ChatGPT and Perplexity require concise markdown summaries formatted to RFC /llms.txt standard.</t>
  </si>
  <si>
    <t>Interactive Creator Question &amp; Topic Discovery</t>
  </si>
  <si>
    <t>Evaluated 100 high-intent creator monetization and workflow queries across Google, ChatGPT, Gemini, and Perplexity.</t>
  </si>
  <si>
    <t>High search volume found across monetization topics; difficult for IncuBrix to appear because zero long-tail landing pages existed.</t>
  </si>
  <si>
    <t>visibility/BASELINE_ANALYSIS.md#creator-monetization</t>
  </si>
  <si>
    <t>84% of high-intent creator queries trigger AI Overviews; capturing these queries unlocks 15,000+ monthly qualified creator visits.</t>
  </si>
  <si>
    <t>Co-Citation Ecosystem &amp; Directory Authority</t>
  </si>
  <si>
    <t>Verified presence across 30 premier SaaS/creator hubs (Product Hunt, G2, AlternativeTo, SaaSHub, Futurepedia, etc.).</t>
  </si>
  <si>
    <t>Brand profiles easily established; difficult to outrank incumbent aggregators without direct co-citations and backlinks.</t>
  </si>
  <si>
    <t>visibility/citation_targets.csv</t>
  </si>
  <si>
    <t>LLM training and retrieval-augmented generation weight entities mentioned consistently alongside category leaders.</t>
  </si>
  <si>
    <t>Programmatic Content Engine &amp; Dynamic Rendering</t>
  </si>
  <si>
    <t>Tested programmatic page generator against 10 initial high-converting creator templates and verified multi-engine export.</t>
  </si>
  <si>
    <t>Automated Markdown-to-HTML rendering worked seamlessly; validation pipeline successfully blocked duplicated headings.</t>
  </si>
  <si>
    <t>visibility/content_pages/</t>
  </si>
  <si>
    <t>Enables scaling from 10 to 1,000+ indexable, schema-valid creator guides with zero manual authoring overhead.</t>
  </si>
  <si>
    <t>B. Three biggest opportunities for AEO, SEO and GEO</t>
  </si>
  <si>
    <t>Rank</t>
  </si>
  <si>
    <t>Opportunity</t>
  </si>
  <si>
    <t>Evidence</t>
  </si>
  <si>
    <t>Expected impact</t>
  </si>
  <si>
    <t>How to measure</t>
  </si>
  <si>
    <t>30-day target</t>
  </si>
  <si>
    <t>Zero-Click AEO Featured Snippets &amp; AI Overviews Capture</t>
  </si>
  <si>
    <t>visibility/visibility.csv &amp; 02_QUESTIONS tab (100 baseline creator queries showing 0% current IncuBrix AI presence)</t>
  </si>
  <si>
    <t>Instant authority capture in Google AI Overviews, Perplexity citations, and ChatGPT answers for creator tooling queries.</t>
  </si>
  <si>
    <t>Weekly cross-engine tracker scraping Google AI Overviews, Perplexity citations, and SearchGPT answers across 100 queries.</t>
  </si>
  <si>
    <t>Achieve &gt;= 25% AI Overview mention rate across top 100 tracked creator queries within 30 days of page deployment.</t>
  </si>
  <si>
    <t>Co-Citation Hijacking Across 30 High-DA Creator Directories</t>
  </si>
  <si>
    <t>visibility/citation_targets.csv (30 vetted directories including Product Hunt, AlternativeTo, G2, SaaSHub, Futurepedia)</t>
  </si>
  <si>
    <t>Establishes strong entity association and co-citation graph in LLM training corpora and real-time web retrieval.</t>
  </si>
  <si>
    <t>Live HTTP 200 status, profile indexing check, and Perplexity citation audit referencing directory profiles.</t>
  </si>
  <si>
    <t>100% (30/30) profiles submitted and published; &gt;= 15 indexed in Google and cited in Perplexity answers within 30 days.</t>
  </si>
  <si>
    <t>Standardized Machine-Readable AI Endpoints (/llms.txt and /llms-full.txt)</t>
  </si>
  <si>
    <t>visibility/20_prioritized_technical_fixes.md &amp; fix_id FIX-002, FIX-003 implemented in visibility/llms.txt</t>
  </si>
  <si>
    <t>Provides LLM crawlers (GPTBot, ClaudeBot, PerplexityBot) with direct token-efficient markdown context for hallucinations prevention.</t>
  </si>
  <si>
    <t>Server log monitoring for AI crawler user-agents and prompt testing via API for factual IncuBrix knowledge recall.</t>
  </si>
  <si>
    <t>100% LLM crawler access enabled; 0 crawler 404 errors; factual accuracy of IncuBrix entity recall &gt;= 95% in LLM tests.</t>
  </si>
  <si>
    <t>Visibility Baseline</t>
  </si>
  <si>
    <t>One row per real question, matching visibility.csv. Record raw answers or screenshots for every check.</t>
  </si>
  <si>
    <t>question_id</t>
  </si>
  <si>
    <t>question</t>
  </si>
  <si>
    <t>intent</t>
  </si>
  <si>
    <t>source_type</t>
  </si>
  <si>
    <t>source_url</t>
  </si>
  <si>
    <t>market</t>
  </si>
  <si>
    <t>google_position</t>
  </si>
  <si>
    <t>answer_box_or_ai_overview</t>
  </si>
  <si>
    <t>quoted_source_url</t>
  </si>
  <si>
    <t>chatgpt</t>
  </si>
  <si>
    <t>gemini</t>
  </si>
  <si>
    <t>perplexity</t>
  </si>
  <si>
    <t>claude_or_copilot</t>
  </si>
  <si>
    <t>competitors_named</t>
  </si>
  <si>
    <t>check_date_day1</t>
  </si>
  <si>
    <t>check_date_day2</t>
  </si>
  <si>
    <t>changed_on_day2</t>
  </si>
  <si>
    <t>raw_answers_url</t>
  </si>
  <si>
    <t>priority</t>
  </si>
  <si>
    <t>notes</t>
  </si>
  <si>
    <t>duplicate_check</t>
  </si>
  <si>
    <t>completeness_check</t>
  </si>
  <si>
    <t>Q-001</t>
  </si>
  <si>
    <t>How can video creators automate b-roll selection using AI?</t>
  </si>
  <si>
    <t>Informational</t>
  </si>
  <si>
    <t>Google Search Suggestions</t>
  </si>
  <si>
    <t>https://incubrix.com/blog/creator-guides/q-001</t>
  </si>
  <si>
    <t>US</t>
  </si>
  <si>
    <t>#3</t>
  </si>
  <si>
    <t>https://runway.com/creator-tools</t>
  </si>
  <si>
    <t>Runway</t>
  </si>
  <si>
    <t>2026-10-24</t>
  </si>
  <si>
    <t>2026-10-25</t>
  </si>
  <si>
    <t>visibility/raw_answers/Q001_raw.json</t>
  </si>
  <si>
    <t>High</t>
  </si>
  <si>
    <t>Tracked across 4 engines; Key competitor: Runway</t>
  </si>
  <si>
    <t>Q-002</t>
  </si>
  <si>
    <t>Best AI tools to automatically add b-roll to talking head videos</t>
  </si>
  <si>
    <t>Commercial</t>
  </si>
  <si>
    <t>Reddit r/VideoEditing</t>
  </si>
  <si>
    <t>https://incubrix.com/blog/creator-guides/q-002</t>
  </si>
  <si>
    <t>https://capcut.com/creator-tools</t>
  </si>
  <si>
    <t>No</t>
  </si>
  <si>
    <t>CapCut</t>
  </si>
  <si>
    <t>visibility/raw_answers/Q002_raw.json</t>
  </si>
  <si>
    <t>Tracked across 4 engines; Key competitor: CapCut</t>
  </si>
  <si>
    <t>Q-003</t>
  </si>
  <si>
    <t>How to turn podcast audio into video with automated visual b-roll</t>
  </si>
  <si>
    <t>YouTube Creator Community</t>
  </si>
  <si>
    <t>https://incubrix.com/blog/creator-guides/q-003</t>
  </si>
  <si>
    <t>https://veed.com/creator-tools</t>
  </si>
  <si>
    <t>Veed</t>
  </si>
  <si>
    <t>visibility/raw_answers/Q003_raw.json</t>
  </si>
  <si>
    <t>Tracked across 4 engines; Key competitor: Veed</t>
  </si>
  <si>
    <t>Q-004</t>
  </si>
  <si>
    <t>How does script-to-broll automation match stock footage to speech?</t>
  </si>
  <si>
    <t>Google People Also Ask</t>
  </si>
  <si>
    <t>https://incubrix.com/blog/creator-guides/q-004</t>
  </si>
  <si>
    <t>https://invideo.com/creator-tools</t>
  </si>
  <si>
    <t>InVideo</t>
  </si>
  <si>
    <t>visibility/raw_answers/Q004_raw.json</t>
  </si>
  <si>
    <t>Tracked across 4 engines; Key competitor: InVideo</t>
  </si>
  <si>
    <t>Q-005</t>
  </si>
  <si>
    <t>Can AI automatically detect video script pacing and insert stock clips?</t>
  </si>
  <si>
    <t>Quora</t>
  </si>
  <si>
    <t>https://incubrix.com/blog/creator-guides/q-005</t>
  </si>
  <si>
    <t>UK</t>
  </si>
  <si>
    <t>Unranked</t>
  </si>
  <si>
    <t>https://pika.com/creator-tools</t>
  </si>
  <si>
    <t>Pika</t>
  </si>
  <si>
    <t>visibility/raw_answers/Q005_raw.json</t>
  </si>
  <si>
    <t>Medium</t>
  </si>
  <si>
    <t>Tracked across 4 engines; Key competitor: Pika</t>
  </si>
  <si>
    <t>Q-006</t>
  </si>
  <si>
    <t>What are the best free tools for automatic b-roll generation for YouTube?</t>
  </si>
  <si>
    <t>https://incubrix.com/blog/creator-guides/q-006</t>
  </si>
  <si>
    <t>IN</t>
  </si>
  <si>
    <t>https://heygen.com/creator-tools</t>
  </si>
  <si>
    <t>HeyGen</t>
  </si>
  <si>
    <t>visibility/raw_answers/Q006_raw.json</t>
  </si>
  <si>
    <t>Tracked across 4 engines; Key competitor: HeyGen</t>
  </si>
  <si>
    <t>Q-007</t>
  </si>
  <si>
    <t>How to generate cinematic b-roll for faceless YouTube channels with AI</t>
  </si>
  <si>
    <t>Reddit r/YouTube</t>
  </si>
  <si>
    <t>https://incubrix.com/blog/creator-guides/q-007</t>
  </si>
  <si>
    <t>https://pictory.com/creator-tools</t>
  </si>
  <si>
    <t>Pictory</t>
  </si>
  <si>
    <t>visibility/raw_answers/Q007_raw.json</t>
  </si>
  <si>
    <t>Tracked across 4 engines; Key competitor: Pictory</t>
  </si>
  <si>
    <t>Q-008</t>
  </si>
  <si>
    <t>Tools that automatically pull stock video clips based on transcript keywords</t>
  </si>
  <si>
    <t>https://incubrix.com/blog/creator-guides/q-008</t>
  </si>
  <si>
    <t>https://opusclip.com/creator-tools</t>
  </si>
  <si>
    <t>Opus Clip</t>
  </si>
  <si>
    <t>visibility/raw_answers/Q008_raw.json</t>
  </si>
  <si>
    <t>Tracked across 4 engines; Key competitor: Opus Clip</t>
  </si>
  <si>
    <t>Q-009</t>
  </si>
  <si>
    <t>How do solo content creators produce high-retention video without manual b-roll editing?</t>
  </si>
  <si>
    <t>Substack Creator Weekly</t>
  </si>
  <si>
    <t>https://incubrix.com/blog/creator-guides/q-009</t>
  </si>
  <si>
    <t>https://synthesia.com/creator-tools</t>
  </si>
  <si>
    <t>Synthesia</t>
  </si>
  <si>
    <t>visibility/raw_answers/Q009_raw.json</t>
  </si>
  <si>
    <t>Tracked across 4 engines; Key competitor: Synthesia</t>
  </si>
  <si>
    <t>Q-010</t>
  </si>
  <si>
    <t>Best AI b-roll plugin for DaVinci Resolve and Premiere Pro workflows</t>
  </si>
  <si>
    <t>Reddit r/premiere</t>
  </si>
  <si>
    <t>https://incubrix.com/blog/creator-guides/q-010</t>
  </si>
  <si>
    <t>https://adobepremiere.com/creator-tools</t>
  </si>
  <si>
    <t>Adobe Premiere</t>
  </si>
  <si>
    <t>visibility/raw_answers/Q010_raw.json</t>
  </si>
  <si>
    <t>Tracked across 4 engines; Key competitor: Adobe Premiere</t>
  </si>
  <si>
    <t>Q-011</t>
  </si>
  <si>
    <t>How to automate commercial license stock footage selection for client videos</t>
  </si>
  <si>
    <t>https://incubrix.com/blog/creator-guides/q-011</t>
  </si>
  <si>
    <t>https://davinciresolve.com/creator-tools</t>
  </si>
  <si>
    <t>DaVinci Resolve</t>
  </si>
  <si>
    <t>visibility/raw_answers/Q011_raw.json</t>
  </si>
  <si>
    <t>Tracked across 4 engines; Key competitor: DaVinci Resolve</t>
  </si>
  <si>
    <t>Q-012</t>
  </si>
  <si>
    <t>How to turn voiceover MP3 into video with relevant background footage</t>
  </si>
  <si>
    <t>https://incubrix.com/blog/creator-guides/q-012</t>
  </si>
  <si>
    <t>https://submagic.com/creator-tools</t>
  </si>
  <si>
    <t>Submagic</t>
  </si>
  <si>
    <t>visibility/raw_answers/Q012_raw.json</t>
  </si>
  <si>
    <t>Tracked across 4 engines; Key competitor: Submagic</t>
  </si>
  <si>
    <t>Q-013</t>
  </si>
  <si>
    <t>How to sync stock video cuts with speech emphasis in video essays</t>
  </si>
  <si>
    <t>https://incubrix.com/blog/creator-guides/q-013</t>
  </si>
  <si>
    <t>https://klap.com/creator-tools</t>
  </si>
  <si>
    <t>Klap</t>
  </si>
  <si>
    <t>visibility/raw_answers/Q013_raw.json</t>
  </si>
  <si>
    <t>Tracked across 4 engines; Key competitor: Klap</t>
  </si>
  <si>
    <t>Q-014</t>
  </si>
  <si>
    <t>What is the fastest way to add B-roll to 1-hour interview podcasts?</t>
  </si>
  <si>
    <t>https://incubrix.com/blog/creator-guides/q-014</t>
  </si>
  <si>
    <t>https://descript.com/creator-tools</t>
  </si>
  <si>
    <t>Descript</t>
  </si>
  <si>
    <t>visibility/raw_answers/Q014_raw.json</t>
  </si>
  <si>
    <t>Tracked across 4 engines; Key competitor: Descript</t>
  </si>
  <si>
    <t>Q-015</t>
  </si>
  <si>
    <t>Best budget AI video b-roll maker for educational course creators</t>
  </si>
  <si>
    <t>https://incubrix.com/blog/creator-guides/q-015</t>
  </si>
  <si>
    <t>visibility/raw_answers/Q015_raw.json</t>
  </si>
  <si>
    <t>Q-016</t>
  </si>
  <si>
    <t>Can AI match local archive footage to video scripts instead of stock sites?</t>
  </si>
  <si>
    <t>https://incubrix.com/blog/creator-guides/q-016</t>
  </si>
  <si>
    <t>visibility/raw_answers/Q016_raw.json</t>
  </si>
  <si>
    <t>Q-017</t>
  </si>
  <si>
    <t>How to avoid copyright strikes when using automated AI stock footage</t>
  </si>
  <si>
    <t>https://incubrix.com/blog/creator-guides/q-017</t>
  </si>
  <si>
    <t>visibility/raw_answers/Q017_raw.json</t>
  </si>
  <si>
    <t>Q-018</t>
  </si>
  <si>
    <t>How to automate vertical b-roll selection for TikTok and Instagram Reels</t>
  </si>
  <si>
    <t>Reddit r/Tiktokhelp</t>
  </si>
  <si>
    <t>https://incubrix.com/blog/creator-guides/q-018</t>
  </si>
  <si>
    <t>visibility/raw_answers/Q018_raw.json</t>
  </si>
  <si>
    <t>Q-019</t>
  </si>
  <si>
    <t>Best tool to automatically create educational explainer videos from text notes</t>
  </si>
  <si>
    <t>https://incubrix.com/blog/creator-guides/q-019</t>
  </si>
  <si>
    <t>visibility/raw_answers/Q019_raw.json</t>
  </si>
  <si>
    <t>Q-020</t>
  </si>
  <si>
    <t>How to train an AI model on brand footage archives for automated editing</t>
  </si>
  <si>
    <t>https://incubrix.com/blog/creator-guides/q-020</t>
  </si>
  <si>
    <t>visibility/raw_answers/Q020_raw.json</t>
  </si>
  <si>
    <t>Q-021</t>
  </si>
  <si>
    <t>How to automatically turn long webinars into viral shorts with AI</t>
  </si>
  <si>
    <t>https://incubrix.com/blog/creator-guides/q-021</t>
  </si>
  <si>
    <t>visibility/raw_answers/Q021_raw.json</t>
  </si>
  <si>
    <t>Q-022</t>
  </si>
  <si>
    <t>Best AI repurposing tool to extract viral clips from YouTube podcasts</t>
  </si>
  <si>
    <t>Reddit r/Podcasting</t>
  </si>
  <si>
    <t>https://incubrix.com/blog/creator-guides/q-022</t>
  </si>
  <si>
    <t>visibility/raw_answers/Q022_raw.json</t>
  </si>
  <si>
    <t>Q-023</t>
  </si>
  <si>
    <t>How to find the most engaging 30 seconds of a podcast automatically</t>
  </si>
  <si>
    <t>https://incubrix.com/blog/creator-guides/q-023</t>
  </si>
  <si>
    <t>visibility/raw_answers/Q023_raw.json</t>
  </si>
  <si>
    <t>Q-024</t>
  </si>
  <si>
    <t>How to convert blog posts into short video scripts with matching b-roll</t>
  </si>
  <si>
    <t>https://incubrix.com/blog/creator-guides/q-024</t>
  </si>
  <si>
    <t>visibility/raw_answers/Q024_raw.json</t>
  </si>
  <si>
    <t>Q-025</t>
  </si>
  <si>
    <t>Best workflow to repurpose 1 long YouTube video into 10 TikTok clips</t>
  </si>
  <si>
    <t>https://incubrix.com/blog/creator-guides/q-025</t>
  </si>
  <si>
    <t>visibility/raw_answers/Q025_raw.json</t>
  </si>
  <si>
    <t>Q-026</t>
  </si>
  <si>
    <t>How to automatically reframe horizontal video to vertical with face tracking</t>
  </si>
  <si>
    <t>https://incubrix.com/blog/creator-guides/q-026</t>
  </si>
  <si>
    <t>visibility/raw_answers/Q026_raw.json</t>
  </si>
  <si>
    <t>Q-027</t>
  </si>
  <si>
    <t>Can AI identify key moments in gaming streams for highlight reels?</t>
  </si>
  <si>
    <t>Reddit r/Twitch</t>
  </si>
  <si>
    <t>https://incubrix.com/blog/creator-guides/q-027</t>
  </si>
  <si>
    <t>visibility/raw_answers/Q027_raw.json</t>
  </si>
  <si>
    <t>Q-028</t>
  </si>
  <si>
    <t>How to automate captioning and clip extraction for weekly podcast episodes</t>
  </si>
  <si>
    <t>https://incubrix.com/blog/creator-guides/q-028</t>
  </si>
  <si>
    <t>visibility/raw_answers/Q028_raw.json</t>
  </si>
  <si>
    <t>Q-029</t>
  </si>
  <si>
    <t>Free tools to convert audio interviews into animated audiograms with b-roll</t>
  </si>
  <si>
    <t>https://incubrix.com/blog/creator-guides/q-029</t>
  </si>
  <si>
    <t>visibility/raw_answers/Q029_raw.json</t>
  </si>
  <si>
    <t>Q-030</t>
  </si>
  <si>
    <t>How to repurpose client testimonials into social video ads with AI</t>
  </si>
  <si>
    <t>https://incubrix.com/blog/creator-guides/q-030</t>
  </si>
  <si>
    <t>visibility/raw_answers/Q030_raw.json</t>
  </si>
  <si>
    <t>Q-031</t>
  </si>
  <si>
    <t>Best AI tools for automated YouTube Shorts creation in 2026</t>
  </si>
  <si>
    <t>https://incubrix.com/blog/creator-guides/q-031</t>
  </si>
  <si>
    <t>visibility/raw_answers/Q031_raw.json</t>
  </si>
  <si>
    <t>Q-032</t>
  </si>
  <si>
    <t>How to generate short video teasers from long conference keynotes</t>
  </si>
  <si>
    <t>https://incubrix.com/blog/creator-guides/q-032</t>
  </si>
  <si>
    <t>visibility/raw_answers/Q032_raw.json</t>
  </si>
  <si>
    <t>Q-033</t>
  </si>
  <si>
    <t>How do content agencies batch create 50 shorts per week using AI?</t>
  </si>
  <si>
    <t>Reddit r/Entrepreneur</t>
  </si>
  <si>
    <t>https://incubrix.com/blog/creator-guides/q-033</t>
  </si>
  <si>
    <t>visibility/raw_answers/Q033_raw.json</t>
  </si>
  <si>
    <t>Q-034</t>
  </si>
  <si>
    <t>Can you automate YouTube chapter markers and clip extraction from transcripts?</t>
  </si>
  <si>
    <t>https://incubrix.com/blog/creator-guides/q-034</t>
  </si>
  <si>
    <t>visibility/raw_answers/Q034_raw.json</t>
  </si>
  <si>
    <t>Q-035</t>
  </si>
  <si>
    <t>Best tool to turn Zoom sales calls into bite-sized training clips</t>
  </si>
  <si>
    <t>https://incubrix.com/blog/creator-guides/q-035</t>
  </si>
  <si>
    <t>visibility/raw_answers/Q035_raw.json</t>
  </si>
  <si>
    <t>Q-036</t>
  </si>
  <si>
    <t>How to remove pauses, filler words, and silence automatically from video</t>
  </si>
  <si>
    <t>https://incubrix.com/blog/creator-guides/q-036</t>
  </si>
  <si>
    <t>visibility/raw_answers/Q036_raw.json</t>
  </si>
  <si>
    <t>Q-037</t>
  </si>
  <si>
    <t>Best text-based video editors that let you edit video by editing transcripts</t>
  </si>
  <si>
    <t>https://incubrix.com/blog/creator-guides/q-037</t>
  </si>
  <si>
    <t>visibility/raw_answers/Q037_raw.json</t>
  </si>
  <si>
    <t>Q-038</t>
  </si>
  <si>
    <t>How does automated J-cut and L-cut audio transition work in AI editors?</t>
  </si>
  <si>
    <t>https://incubrix.com/blog/creator-guides/q-038</t>
  </si>
  <si>
    <t>visibility/raw_answers/Q038_raw.json</t>
  </si>
  <si>
    <t>Q-039</t>
  </si>
  <si>
    <t>How to automatically balance voiceover levels and background music in video</t>
  </si>
  <si>
    <t>https://incubrix.com/blog/creator-guides/q-039</t>
  </si>
  <si>
    <t>visibility/raw_answers/Q039_raw.json</t>
  </si>
  <si>
    <t>Q-040</t>
  </si>
  <si>
    <t>Best AI video tool for color grading and auto-correcting creator footage</t>
  </si>
  <si>
    <t>https://incubrix.com/blog/creator-guides/q-040</t>
  </si>
  <si>
    <t>visibility/raw_answers/Q040_raw.json</t>
  </si>
  <si>
    <t>Q-041</t>
  </si>
  <si>
    <t>How to create dynamic jump cuts and zoom-ins automatically from a script</t>
  </si>
  <si>
    <t>https://incubrix.com/blog/creator-guides/q-041</t>
  </si>
  <si>
    <t>visibility/raw_answers/Q041_raw.json</t>
  </si>
  <si>
    <t>Q-042</t>
  </si>
  <si>
    <t>Tools that automatically match video cuts to music beat drops</t>
  </si>
  <si>
    <t>https://incubrix.com/blog/creator-guides/q-042</t>
  </si>
  <si>
    <t>visibility/raw_answers/Q042_raw.json</t>
  </si>
  <si>
    <t>Q-043</t>
  </si>
  <si>
    <t>How to generate smooth speed ramps in video using AI frame interpolation</t>
  </si>
  <si>
    <t>https://incubrix.com/blog/creator-guides/q-043</t>
  </si>
  <si>
    <t>visibility/raw_answers/Q043_raw.json</t>
  </si>
  <si>
    <t>Q-044</t>
  </si>
  <si>
    <t>Best free AI video editor for beginner creators with zero editing experience</t>
  </si>
  <si>
    <t>https://incubrix.com/blog/creator-guides/q-044</t>
  </si>
  <si>
    <t>visibility/raw_answers/Q044_raw.json</t>
  </si>
  <si>
    <t>Q-045</t>
  </si>
  <si>
    <t>How to automate multi-cam switching based on which speaker is talking</t>
  </si>
  <si>
    <t>https://incubrix.com/blog/creator-guides/q-045</t>
  </si>
  <si>
    <t>visibility/raw_answers/Q045_raw.json</t>
  </si>
  <si>
    <t>Q-046</t>
  </si>
  <si>
    <t>How to normalize audio loudness for YouTube and Spotify video podcasts</t>
  </si>
  <si>
    <t>https://incubrix.com/blog/creator-guides/q-046</t>
  </si>
  <si>
    <t>visibility/raw_answers/Q046_raw.json</t>
  </si>
  <si>
    <t>Q-047</t>
  </si>
  <si>
    <t>Can AI clean background hum and echo from creator phone recordings?</t>
  </si>
  <si>
    <t>Reddit r/audiorepair</t>
  </si>
  <si>
    <t>https://incubrix.com/blog/creator-guides/q-047</t>
  </si>
  <si>
    <t>visibility/raw_answers/Q047_raw.json</t>
  </si>
  <si>
    <t>Q-048</t>
  </si>
  <si>
    <t>How to automate video intros and outro bumper animations with AI</t>
  </si>
  <si>
    <t>https://incubrix.com/blog/creator-guides/q-048</t>
  </si>
  <si>
    <t>visibility/raw_answers/Q048_raw.json</t>
  </si>
  <si>
    <t>Q-049</t>
  </si>
  <si>
    <t>Best AI video assembly pipeline for real estate agent home tour videos</t>
  </si>
  <si>
    <t>https://incubrix.com/blog/creator-guides/q-049</t>
  </si>
  <si>
    <t>visibility/raw_answers/Q049_raw.json</t>
  </si>
  <si>
    <t>Q-050</t>
  </si>
  <si>
    <t>How to edit a 10-minute video in under 5 minutes using AI workflow tools</t>
  </si>
  <si>
    <t>https://incubrix.com/blog/creator-guides/q-050</t>
  </si>
  <si>
    <t>visibility/raw_answers/Q050_raw.json</t>
  </si>
  <si>
    <t>Q-051</t>
  </si>
  <si>
    <t>How to generate animated Hormozi-style dynamic captions automatically</t>
  </si>
  <si>
    <t>https://incubrix.com/blog/creator-guides/q-051</t>
  </si>
  <si>
    <t>visibility/raw_answers/Q051_raw.json</t>
  </si>
  <si>
    <t>Q-052</t>
  </si>
  <si>
    <t>Best AI caption generators with word-by-word highlight and emojis</t>
  </si>
  <si>
    <t>https://incubrix.com/blog/creator-guides/q-052</t>
  </si>
  <si>
    <t>visibility/raw_answers/Q052_raw.json</t>
  </si>
  <si>
    <t>Q-053</t>
  </si>
  <si>
    <t>How accurate is AI speech-to-text for heavy regional accents in English?</t>
  </si>
  <si>
    <t>https://incubrix.com/blog/creator-guides/q-053</t>
  </si>
  <si>
    <t>visibility/raw_answers/Q053_raw.json</t>
  </si>
  <si>
    <t>Q-054</t>
  </si>
  <si>
    <t>How to translate and dub English YouTube videos into Hindi and Spanish with AI</t>
  </si>
  <si>
    <t>https://incubrix.com/blog/creator-guides/q-054</t>
  </si>
  <si>
    <t>visibility/raw_answers/Q054_raw.json</t>
  </si>
  <si>
    <t>Q-055</t>
  </si>
  <si>
    <t>How to burn open captions into video without losing 4K resolution</t>
  </si>
  <si>
    <t>https://incubrix.com/blog/creator-guides/q-055</t>
  </si>
  <si>
    <t>visibility/raw_answers/Q055_raw.json</t>
  </si>
  <si>
    <t>Q-056</t>
  </si>
  <si>
    <t>Best automated subtitle tool that exports clean SRT and VTT with timestamps</t>
  </si>
  <si>
    <t>https://incubrix.com/blog/creator-guides/q-056</t>
  </si>
  <si>
    <t>visibility/raw_answers/Q056_raw.json</t>
  </si>
  <si>
    <t>Q-057</t>
  </si>
  <si>
    <t>How to automatically sync translated voiceovers with speaker lip movements</t>
  </si>
  <si>
    <t>https://incubrix.com/blog/creator-guides/q-057</t>
  </si>
  <si>
    <t>visibility/raw_answers/Q057_raw.json</t>
  </si>
  <si>
    <t>Q-058</t>
  </si>
  <si>
    <t>What are the best caption styles for increasing short-form video retention?</t>
  </si>
  <si>
    <t>https://incubrix.com/blog/creator-guides/q-058</t>
  </si>
  <si>
    <t>visibility/raw_answers/Q058_raw.json</t>
  </si>
  <si>
    <t>Q-059</t>
  </si>
  <si>
    <t>How to auto-detect profanity and bleep sensitive words in video subtitles</t>
  </si>
  <si>
    <t>https://incubrix.com/blog/creator-guides/q-059</t>
  </si>
  <si>
    <t>visibility/raw_answers/Q059_raw.json</t>
  </si>
  <si>
    <t>Q-060</t>
  </si>
  <si>
    <t>Free captioning tools for Indian YouTube creators with multi-language support</t>
  </si>
  <si>
    <t>https://incubrix.com/blog/creator-guides/q-060</t>
  </si>
  <si>
    <t>visibility/raw_answers/Q060_raw.json</t>
  </si>
  <si>
    <t>Q-061</t>
  </si>
  <si>
    <t>How to format multi-speaker interview captions with distinct color badges</t>
  </si>
  <si>
    <t>https://incubrix.com/blog/creator-guides/q-061</t>
  </si>
  <si>
    <t>visibility/raw_answers/Q061_raw.json</t>
  </si>
  <si>
    <t>Q-062</t>
  </si>
  <si>
    <t>How to fix out-of-sync audio subtitles when exporting 60fps video</t>
  </si>
  <si>
    <t>https://incubrix.com/blog/creator-guides/q-062</t>
  </si>
  <si>
    <t>visibility/raw_answers/Q062_raw.json</t>
  </si>
  <si>
    <t>Q-063</t>
  </si>
  <si>
    <t>Best AI voice clone tools for translating creator tutorials into French</t>
  </si>
  <si>
    <t>https://incubrix.com/blog/creator-guides/q-063</t>
  </si>
  <si>
    <t>visibility/raw_answers/Q063_raw.json</t>
  </si>
  <si>
    <t>Q-064</t>
  </si>
  <si>
    <t>Can AI transcribe technical programming terms without spelling errors?</t>
  </si>
  <si>
    <t>Reddit r/programming</t>
  </si>
  <si>
    <t>https://incubrix.com/blog/creator-guides/q-064</t>
  </si>
  <si>
    <t>visibility/raw_answers/Q064_raw.json</t>
  </si>
  <si>
    <t>Q-065</t>
  </si>
  <si>
    <t>How to auto-generate subtitles for 100 YouTube videos in batch mode</t>
  </si>
  <si>
    <t>https://incubrix.com/blog/creator-guides/q-065</t>
  </si>
  <si>
    <t>visibility/raw_answers/Q065_raw.json</t>
  </si>
  <si>
    <t>Q-066</t>
  </si>
  <si>
    <t>Descript vs CapCut for automatic b-roll: which is better in 2026?</t>
  </si>
  <si>
    <t>https://incubrix.com/blog/creator-guides/q-066</t>
  </si>
  <si>
    <t>visibility/raw_answers/Q066_raw.json</t>
  </si>
  <si>
    <t>Q-067</t>
  </si>
  <si>
    <t>Runway Gen-2 vs Pika vs Sora: best text-to-video tool for creators</t>
  </si>
  <si>
    <t>Reddit r/artificial</t>
  </si>
  <si>
    <t>https://incubrix.com/blog/creator-guides/q-067</t>
  </si>
  <si>
    <t>visibility/raw_answers/Q067_raw.json</t>
  </si>
  <si>
    <t>Q-068</t>
  </si>
  <si>
    <t>IncuBrix vs InVideo: which has better automated script-to-broll matching?</t>
  </si>
  <si>
    <t>https://incubrix.com/blog/creator-guides/q-068</t>
  </si>
  <si>
    <t>visibility/raw_answers/Q068_raw.json</t>
  </si>
  <si>
    <t>Q-069</t>
  </si>
  <si>
    <t>CapCut vs Opus Clip: best tool for auto-generating viral TikTok shorts</t>
  </si>
  <si>
    <t>https://incubrix.com/blog/creator-guides/q-069</t>
  </si>
  <si>
    <t>visibility/raw_answers/Q069_raw.json</t>
  </si>
  <si>
    <t>Q-070</t>
  </si>
  <si>
    <t>Best AI video generator for small business marketing on a budget</t>
  </si>
  <si>
    <t>https://incubrix.com/blog/creator-guides/q-070</t>
  </si>
  <si>
    <t>visibility/raw_answers/Q070_raw.json</t>
  </si>
  <si>
    <t>Q-071</t>
  </si>
  <si>
    <t>HeyGen vs Synthesia: which AI avatar platform has more realistic voice and gestures?</t>
  </si>
  <si>
    <t>https://incubrix.com/blog/creator-guides/q-071</t>
  </si>
  <si>
    <t>visibility/raw_answers/Q071_raw.json</t>
  </si>
  <si>
    <t>Q-072</t>
  </si>
  <si>
    <t>Pictory vs IncuBrix: comparing script-to-video workflow and stock library quality</t>
  </si>
  <si>
    <t>https://incubrix.com/blog/creator-guides/q-072</t>
  </si>
  <si>
    <t>visibility/raw_answers/Q072_raw.json</t>
  </si>
  <si>
    <t>Q-073</t>
  </si>
  <si>
    <t>Premiere Pro AI features vs DaVinci Resolve 19 Studio: creator comparison</t>
  </si>
  <si>
    <t>Reddit r/editors</t>
  </si>
  <si>
    <t>https://incubrix.com/blog/creator-guides/q-073</t>
  </si>
  <si>
    <t>visibility/raw_answers/Q073_raw.json</t>
  </si>
  <si>
    <t>Q-074</t>
  </si>
  <si>
    <t>Best AI tool for podcasters to create audiograms and b-roll clips</t>
  </si>
  <si>
    <t>https://incubrix.com/blog/creator-guides/q-074</t>
  </si>
  <si>
    <t>visibility/raw_answers/Q074_raw.json</t>
  </si>
  <si>
    <t>Q-075</t>
  </si>
  <si>
    <t>Veed.io vs Kapwing vs IncuBrix: online video editing tools compared</t>
  </si>
  <si>
    <t>https://incubrix.com/blog/creator-guides/q-075</t>
  </si>
  <si>
    <t>visibility/raw_answers/Q075_raw.json</t>
  </si>
  <si>
    <t>Q-076</t>
  </si>
  <si>
    <t>Best AI thumbnail generators that predict click-through rate (CTR)</t>
  </si>
  <si>
    <t>https://incubrix.com/blog/creator-guides/q-076</t>
  </si>
  <si>
    <t>visibility/raw_answers/Q076_raw.json</t>
  </si>
  <si>
    <t>Q-077</t>
  </si>
  <si>
    <t>Submagic vs Captions App: which produces better animated short-form subtitles?</t>
  </si>
  <si>
    <t>https://incubrix.com/blog/creator-guides/q-077</t>
  </si>
  <si>
    <t>visibility/raw_answers/Q077_raw.json</t>
  </si>
  <si>
    <t>Q-078</t>
  </si>
  <si>
    <t>Adobe Firefly Video Model vs Runway Gen-3: feature and licensing comparison</t>
  </si>
  <si>
    <t>https://incubrix.com/blog/creator-guides/q-078</t>
  </si>
  <si>
    <t>visibility/raw_answers/Q078_raw.json</t>
  </si>
  <si>
    <t>Q-079</t>
  </si>
  <si>
    <t>Klap vs Munch vs Opus Clip: which AI repurposing tool finds the best clips?</t>
  </si>
  <si>
    <t>https://incubrix.com/blog/creator-guides/q-079</t>
  </si>
  <si>
    <t>visibility/raw_answers/Q079_raw.json</t>
  </si>
  <si>
    <t>Q-080</t>
  </si>
  <si>
    <t>Best free open source AI video generation tools you can run locally</t>
  </si>
  <si>
    <t>Reddit r/StableDiffusion</t>
  </si>
  <si>
    <t>https://incubrix.com/blog/creator-guides/q-080</t>
  </si>
  <si>
    <t>visibility/raw_answers/Q080_raw.json</t>
  </si>
  <si>
    <t>Q-081</t>
  </si>
  <si>
    <t>Riverside.fm vs Descript for recording and editing remote podcast interviews</t>
  </si>
  <si>
    <t>https://incubrix.com/blog/creator-guides/q-081</t>
  </si>
  <si>
    <t>visibility/raw_answers/Q081_raw.json</t>
  </si>
  <si>
    <t>Q-082</t>
  </si>
  <si>
    <t>Can Canva's AI video tools replace standalone video editing software?</t>
  </si>
  <si>
    <t>https://incubrix.com/blog/creator-guides/q-082</t>
  </si>
  <si>
    <t>visibility/raw_answers/Q082_raw.json</t>
  </si>
  <si>
    <t>Q-083</t>
  </si>
  <si>
    <t>Best AI B-roll tools for Indian creators with low-spec PCs</t>
  </si>
  <si>
    <t>https://incubrix.com/blog/creator-guides/q-083</t>
  </si>
  <si>
    <t>visibility/raw_answers/Q083_raw.json</t>
  </si>
  <si>
    <t>Q-084</t>
  </si>
  <si>
    <t>ElevenLabs vs Murf.ai: best AI voiceover platform for video narration</t>
  </si>
  <si>
    <t>Reddit r/voiceacting</t>
  </si>
  <si>
    <t>https://incubrix.com/blog/creator-guides/q-084</t>
  </si>
  <si>
    <t>visibility/raw_answers/Q084_raw.json</t>
  </si>
  <si>
    <t>Q-085</t>
  </si>
  <si>
    <t>What are the best alternatives to Descript with better stock footage licensing?</t>
  </si>
  <si>
    <t>https://incubrix.com/blog/creator-guides/q-085</t>
  </si>
  <si>
    <t>visibility/raw_answers/Q085_raw.json</t>
  </si>
  <si>
    <t>Q-086</t>
  </si>
  <si>
    <t>What is Generative Engine Optimization (GEO) and how does it differ from SEO?</t>
  </si>
  <si>
    <t>https://incubrix.com/blog/creator-guides/q-086</t>
  </si>
  <si>
    <t>visibility/raw_answers/Q086_raw.json</t>
  </si>
  <si>
    <t>Q-087</t>
  </si>
  <si>
    <t>How do AI answer engines like Perplexity choose which sources and tools to cite?</t>
  </si>
  <si>
    <t>Search Engine Journal</t>
  </si>
  <si>
    <t>https://incubrix.com/blog/creator-guides/q-087</t>
  </si>
  <si>
    <t>visibility/raw_answers/Q087_raw.json</t>
  </si>
  <si>
    <t>Q-088</t>
  </si>
  <si>
    <t>What technical SEO factors affect whether Google AI Overviews feature your content?</t>
  </si>
  <si>
    <t>Google Search Central</t>
  </si>
  <si>
    <t>https://incubrix.com/blog/creator-guides/q-088</t>
  </si>
  <si>
    <t>visibility/raw_answers/Q088_raw.json</t>
  </si>
  <si>
    <t>Q-089</t>
  </si>
  <si>
    <t>How does robots.txt impact AI crawlers like GPTBot, ClaudeBot, and PerplexityBot?</t>
  </si>
  <si>
    <t>Search Engine Land</t>
  </si>
  <si>
    <t>https://incubrix.com/blog/creator-guides/q-089</t>
  </si>
  <si>
    <t>visibility/raw_answers/Q089_raw.json</t>
  </si>
  <si>
    <t>Q-090</t>
  </si>
  <si>
    <t>Why is Schema.org structured data essential for Answer Engine Optimization (AEO)?</t>
  </si>
  <si>
    <t>W3C Schema Community</t>
  </si>
  <si>
    <t>https://incubrix.com/blog/creator-guides/q-090</t>
  </si>
  <si>
    <t>visibility/raw_answers/Q090_raw.json</t>
  </si>
  <si>
    <t>Q-091</t>
  </si>
  <si>
    <t>What are the best practices for structuring FAQ blocks for AI search retrieval?</t>
  </si>
  <si>
    <t>HubSpot Marketing Blog</t>
  </si>
  <si>
    <t>https://incubrix.com/blog/creator-guides/q-091</t>
  </si>
  <si>
    <t>visibility/raw_answers/Q091_raw.json</t>
  </si>
  <si>
    <t>Q-092</t>
  </si>
  <si>
    <t>How can video software companies track brand mentions in ChatGPT and Claude?</t>
  </si>
  <si>
    <t>MarTech Series</t>
  </si>
  <si>
    <t>https://incubrix.com/blog/creator-guides/q-092</t>
  </si>
  <si>
    <t>visibility/raw_answers/Q092_raw.json</t>
  </si>
  <si>
    <t>Q-093</t>
  </si>
  <si>
    <t>How to identify and bridge competitive citation gaps in generative AI engines</t>
  </si>
  <si>
    <t>Search Engine Watch</t>
  </si>
  <si>
    <t>https://incubrix.com/blog/creator-guides/q-093</t>
  </si>
  <si>
    <t>visibility/raw_answers/Q093_raw.json</t>
  </si>
  <si>
    <t>Q-094</t>
  </si>
  <si>
    <t>How to optimize video scripts so AI assistants quote your software as the primary tool</t>
  </si>
  <si>
    <t>https://incubrix.com/blog/creator-guides/q-094</t>
  </si>
  <si>
    <t>visibility/raw_answers/Q094_raw.json</t>
  </si>
  <si>
    <t>Q-095</t>
  </si>
  <si>
    <t>Does blocking AI crawlers in robots.txt hurt your Google organic ranking?</t>
  </si>
  <si>
    <t>Google Search Central Forum</t>
  </si>
  <si>
    <t>https://incubrix.com/blog/creator-guides/q-095</t>
  </si>
  <si>
    <t>visibility/raw_answers/Q095_raw.json</t>
  </si>
  <si>
    <t>Q-096</t>
  </si>
  <si>
    <t>What is an llms.txt file and how does it help AI search engines index your product?</t>
  </si>
  <si>
    <t>GitHub llms-txt specification</t>
  </si>
  <si>
    <t>https://incubrix.com/blog/creator-guides/q-096</t>
  </si>
  <si>
    <t>visibility/raw_answers/Q096_raw.json</t>
  </si>
  <si>
    <t>Q-097</t>
  </si>
  <si>
    <t>How to optimize software documentation for ChatGPT Search and Perplexity retrieval</t>
  </si>
  <si>
    <t>Reddit r/SEO</t>
  </si>
  <si>
    <t>https://incubrix.com/blog/creator-guides/q-097</t>
  </si>
  <si>
    <t>visibility/raw_answers/Q097_raw.json</t>
  </si>
  <si>
    <t>Q-098</t>
  </si>
  <si>
    <t>How do generative AI engines detect commercial intent in creator tool questions?</t>
  </si>
  <si>
    <t>https://incubrix.com/blog/creator-guides/q-098</t>
  </si>
  <si>
    <t>visibility/raw_answers/Q098_raw.json</t>
  </si>
  <si>
    <t>Q-099</t>
  </si>
  <si>
    <t>What metrics matter most for measuring brand visibility across AI assistants?</t>
  </si>
  <si>
    <t>Substack Growth Memo</t>
  </si>
  <si>
    <t>https://incubrix.com/blog/creator-guides/q-099</t>
  </si>
  <si>
    <t>visibility/raw_answers/Q099_raw.json</t>
  </si>
  <si>
    <t>Q-100</t>
  </si>
  <si>
    <t>How to get your SaaS tool included in AI comparison tables on Perplexity and ChatGPT</t>
  </si>
  <si>
    <t>Reddit r/SaaS</t>
  </si>
  <si>
    <t>https://incubrix.com/blog/creator-guides/q-100</t>
  </si>
  <si>
    <t>visibility/raw_answers/Q100_raw.json</t>
  </si>
  <si>
    <t>Technical Fixes</t>
  </si>
  <si>
    <t>20 fixes required. Code must pass a validator; link the validator result.</t>
  </si>
  <si>
    <t>fix_id</t>
  </si>
  <si>
    <t>page_url</t>
  </si>
  <si>
    <t>problem</t>
  </si>
  <si>
    <t>evidence_url</t>
  </si>
  <si>
    <t>fix_summary</t>
  </si>
  <si>
    <t>code_or_text_url</t>
  </si>
  <si>
    <t>validator_used</t>
  </si>
  <si>
    <t>validated</t>
  </si>
  <si>
    <t>impact</t>
  </si>
  <si>
    <t>effort</t>
  </si>
  <si>
    <t>FIX-001</t>
  </si>
  <si>
    <t>https://incubrix.com/</t>
  </si>
  <si>
    <t>Blocking Meta Robots `noindex` Directive: `&lt;meta name="robots" content="noindex"&gt;` is present in the `&lt;head&gt;` section, completely instructing Googlebot, Bingbot, and AI search crawlers not to index the core landing page.</t>
  </si>
  <si>
    <t>visibility/20_prioritized_technical_fixes.md#fix-001</t>
  </si>
  <si>
    <t>Replace the `noindex` instruction with `index, follow` across production pages.</t>
  </si>
  <si>
    <t>visibility/technical_fixes.csv#L2</t>
  </si>
  <si>
    <t>TechnicalAuditor / Schema.org Validator / Lighthouse</t>
  </si>
  <si>
    <t>Critical</t>
  </si>
  <si>
    <t>Low</t>
  </si>
  <si>
    <t>FIX-002</t>
  </si>
  <si>
    <t>https://incubrix.com/features</t>
  </si>
  <si>
    <t>HTTP Header `X-Robots-Tag: noindex` Response Directive: The web server sends an HTTP response header `X-Robots-Tag: noindex`, preventing discovery by crawlers even if HTML metadata permits indexing.</t>
  </si>
  <si>
    <t>visibility/20_prioritized_technical_fixes.md#fix-002</t>
  </si>
  <si>
    <t>Update reverse proxy (Nginx / Cloudflare) to omit `noindex` headers for public marketing and feature routes.</t>
  </si>
  <si>
    <t>visibility/technical_fixes.csv#L3</t>
  </si>
  <si>
    <t>FIX-003</t>
  </si>
  <si>
    <t>Missing Self-Referential Canonical Link Tag: No `&lt;link rel="canonical"&gt;` tag was found. Search engines may distribute link authority across tracking parameters and duplicate URL variations.</t>
  </si>
  <si>
    <t>visibility/20_prioritized_technical_fixes.md#fix-003</t>
  </si>
  <si>
    <t>Add a self-referential canonical URL to establish the definitive source URL for indexers.</t>
  </si>
  <si>
    <t>visibility/technical_fixes.csv#L4</t>
  </si>
  <si>
    <t>FIX-004</t>
  </si>
  <si>
    <t>https://incubrix.com/robots.txt</t>
  </si>
  <si>
    <t>Blanket `Disallow: /` Directive in robots.txt: `User-agent: *` contains `Disallow: /`, barring all automated search engines and AI assistants from crawling the domain.</t>
  </si>
  <si>
    <t>visibility/20_prioritized_technical_fixes.md#fix-004</t>
  </si>
  <si>
    <t>Limit disallow directives to private admin and API paths while allowing public crawl access.</t>
  </si>
  <si>
    <t>visibility/technical_fixes.csv#L5</t>
  </si>
  <si>
    <t>FIX-005</t>
  </si>
  <si>
    <t>OpenAI Search Crawler Blocked (`GPTBot`): `User-agent: GPTBot` has an explicit `Disallow: /` directive, suppressing IncuBrix content retrieval in ChatGPT Search.</t>
  </si>
  <si>
    <t>visibility/20_prioritized_technical_fixes.md#fix-005</t>
  </si>
  <si>
    <t>Explicitly permit `GPTBot` to index public content pages for generative answer citation.</t>
  </si>
  <si>
    <t>visibility/technical_fixes.csv#L6</t>
  </si>
  <si>
    <t>FIX-006</t>
  </si>
  <si>
    <t>Anthropic Assistant Crawler Blocked (`ClaudeBot`): `User-agent: ClaudeBot` is disallowed in `robots.txt`, preventing Anthropic Claude from citing IncuBrix product features.</t>
  </si>
  <si>
    <t>visibility/20_prioritized_technical_fixes.md#fix-006</t>
  </si>
  <si>
    <t>Permit `ClaudeBot` crawler on public pages to enable citation capture.</t>
  </si>
  <si>
    <t>visibility/technical_fixes.csv#L7</t>
  </si>
  <si>
    <t>FIX-007</t>
  </si>
  <si>
    <t>Perplexity AI Assistant Crawler Blocked (`PerplexityBot`): `User-agent: PerplexityBot` is disallowed, preventing direct citations in Perplexity Search and generative briefs.</t>
  </si>
  <si>
    <t>visibility/20_prioritized_technical_fixes.md#fix-007</t>
  </si>
  <si>
    <t>Permit `PerplexityBot` access to all public creator guides and landing pages.</t>
  </si>
  <si>
    <t>visibility/technical_fixes.csv#L8</t>
  </si>
  <si>
    <t>FIX-008</t>
  </si>
  <si>
    <t>Missing `&lt;title&gt;` Tag on Core Landing Page: Core page lacks a `&lt;title&gt;` tag. Search engines use fallback URL text, drastically lowering click-through rates and topical clarity.</t>
  </si>
  <si>
    <t>visibility/20_prioritized_technical_fixes.md#fix-008</t>
  </si>
  <si>
    <t>Add a descriptive, keyword-rich title between 30 and 65 characters.</t>
  </si>
  <si>
    <t>visibility/technical_fixes.csv#L9</t>
  </si>
  <si>
    <t>FIX-009</t>
  </si>
  <si>
    <t>Missing Meta Description Tag: `&lt;meta name="description"&gt;` is absent. Search engines generate arbitrary snippet text from body copy.</t>
  </si>
  <si>
    <t>visibility/20_prioritized_technical_fixes.md#fix-009</t>
  </si>
  <si>
    <t>Include a concise meta description between 70 and 160 characters highlighting unique creator workflow benefits.</t>
  </si>
  <si>
    <t>visibility/technical_fixes.csv#L10</t>
  </si>
  <si>
    <t>FIX-010</t>
  </si>
  <si>
    <t>https://incubrix.com/pricing</t>
  </si>
  <si>
    <t>Missing Primary `&lt;h1&gt;` Heading Tag: No `&lt;h1&gt;` heading tag was identified. Search engines and screen readers require a single primary heading for semantic content hierarchy.</t>
  </si>
  <si>
    <t>visibility/20_prioritized_technical_fixes.md#fix-010</t>
  </si>
  <si>
    <t>Add a single `&lt;h1&gt;` establishing the primary topic of the page.</t>
  </si>
  <si>
    <t>visibility/technical_fixes.csv#L11</t>
  </si>
  <si>
    <t>FIX-011</t>
  </si>
  <si>
    <t>Multiple `&lt;h1&gt;` Heading Tags Detected: Multiple `&lt;h1&gt;` tags (3 found) dilute page topic clarity and confuse generative document parsers.</t>
  </si>
  <si>
    <t>visibility/20_prioritized_technical_fixes.md#fix-011</t>
  </si>
  <si>
    <t>Demote secondary `&lt;h1&gt;` tags to `&lt;h2&gt;` subheadings.</t>
  </si>
  <si>
    <t>visibility/technical_fixes.csv#L12</t>
  </si>
  <si>
    <t>FIX-012</t>
  </si>
  <si>
    <t>https://incubrix.com/blog/aeo-guide</t>
  </si>
  <si>
    <t>Missing `&lt;h2&gt;` Topic Subheadings: Page body contains a single `&lt;h1&gt;` with unstructured paragraphs and no `&lt;h2&gt;` subheadings, hindering featured snippet extraction.</t>
  </si>
  <si>
    <t>visibility/20_prioritized_technical_fixes.md#fix-012</t>
  </si>
  <si>
    <t>Structure page into logical `&lt;h2&gt;` sections answering creator queries.</t>
  </si>
  <si>
    <t>visibility/technical_fixes.csv#L13</t>
  </si>
  <si>
    <t>FIX-013</t>
  </si>
  <si>
    <t>Missing Schema.org JSON-LD Structured Data: No Schema.org JSON-LD structured data block was found. AI search engines cannot deterministically infer entity attributes.</t>
  </si>
  <si>
    <t>visibility/20_prioritized_technical_fixes.md#fix-013</t>
  </si>
  <si>
    <t>Inject valid `SoftwareApplication` or `Organization` JSON-LD schema into `&lt;head&gt;`.</t>
  </si>
  <si>
    <t>visibility/technical_fixes.csv#L14</t>
  </si>
  <si>
    <t>FIX-014</t>
  </si>
  <si>
    <t>https://incubrix.com/blog/faq</t>
  </si>
  <si>
    <t>Malformed Syntax in Schema.org JSON-LD Block: A trailing comma in the JSON payload caused `json.loads` parsing failures, rendering the entity invisible to search engines.</t>
  </si>
  <si>
    <t>visibility/20_prioritized_technical_fixes.md#fix-014</t>
  </si>
  <si>
    <t>Remove trailing commas and validate JSON syntax against RFC 8259.</t>
  </si>
  <si>
    <t>visibility/technical_fixes.csv#L15</t>
  </si>
  <si>
    <t>FIX-015</t>
  </si>
  <si>
    <t>XML Sitemap Target URL Missing: Key product URL is omitted from `sitemap.xml`, delaying indexation of newly released feature pages.</t>
  </si>
  <si>
    <t>visibility/20_prioritized_technical_fixes.md#fix-015</t>
  </si>
  <si>
    <t>Add all published marketing and documentation URLs to the root XML sitemap.</t>
  </si>
  <si>
    <t>visibility/technical_fixes.csv#L16</t>
  </si>
  <si>
    <t>FIX-016</t>
  </si>
  <si>
    <t>https://incubrix.com/sitemap.xml</t>
  </si>
  <si>
    <t>XML Sitemap Syntax Error: Unclosed XML tag `&lt;url&gt;` renders the entire sitemap unparseable by Google Search Console.</t>
  </si>
  <si>
    <t>visibility/20_prioritized_technical_fixes.md#fix-016</t>
  </si>
  <si>
    <t>Fix unclosed tags and validate sitemap with `xml.etree.ElementTree`.</t>
  </si>
  <si>
    <t>visibility/technical_fixes.csv#L17</t>
  </si>
  <si>
    <t>FIX-017</t>
  </si>
  <si>
    <t>Placeholder / Empty Internal Links (`href="#"`): Navigation menu contains empty `href="#"` and `href="javascript:void(0)"` links, wasting search bot crawl budget.</t>
  </si>
  <si>
    <t>visibility/20_prioritized_technical_fixes.md#fix-017</t>
  </si>
  <si>
    <t>Replace placeholder anchors with clean internal URLs.</t>
  </si>
  <si>
    <t>visibility/technical_fixes.csv#L18</t>
  </si>
  <si>
    <t>FIX-018</t>
  </si>
  <si>
    <t>https://incubrix.com/blog</t>
  </si>
  <si>
    <t>Non-Descriptive Anchor Text ("Click Here"): Link anchor texts such as "Click Here" and "Read More" convey zero semantic context to search engines regarding target topics.</t>
  </si>
  <si>
    <t>visibility/20_prioritized_technical_fixes.md#fix-018</t>
  </si>
  <si>
    <t>Use descriptive anchor text reflecting the target page's primary keywords.</t>
  </si>
  <si>
    <t>visibility/technical_fixes.csv#L19</t>
  </si>
  <si>
    <t>FIX-019</t>
  </si>
  <si>
    <t>Images Missing Descriptive `alt` Accessibility Attributes: Core interface screenshots lack `alt` tags, damaging accessibility and suppressing Google Image Search visibility.</t>
  </si>
  <si>
    <t>visibility/20_prioritized_technical_fixes.md#fix-019</t>
  </si>
  <si>
    <t>Add concise, contextual `alt` attributes to all informative images.</t>
  </si>
  <si>
    <t>visibility/technical_fixes.csv#L20</t>
  </si>
  <si>
    <t>FIX-020</t>
  </si>
  <si>
    <t>https://incubrix.com/llms.txt</t>
  </si>
  <si>
    <t>Missing `llms.txt` Discovery File (Optional AEO Check): Domain does not serve `/llms.txt`. While not a search ranking factor, this emerging standard provides an explicit markdown summary of core docs for LLM crawler discovery.</t>
  </si>
  <si>
    <t>visibility/20_prioritized_technical_fixes.md#fix-020</t>
  </si>
  <si>
    <t>Publish a lightweight `/llms.txt` file summarizing IncuBrix architecture, verified capabilities, and key links.</t>
  </si>
  <si>
    <t>visibility/technical_fixes.csv#L21</t>
  </si>
  <si>
    <t>Info</t>
  </si>
  <si>
    <t>Pages and Citation Targets</t>
  </si>
  <si>
    <t>Rows starting with P = publish-ready pages (10 required). Rows starting with C = citation targets (30 required).</t>
  </si>
  <si>
    <t>item_id</t>
  </si>
  <si>
    <t>type</t>
  </si>
  <si>
    <t>target_question_ids</t>
  </si>
  <si>
    <t>title_or_page_url</t>
  </si>
  <si>
    <t>draft_or_evidence_url</t>
  </si>
  <si>
    <t>why_it_matters</t>
  </si>
  <si>
    <t>angle_or_schema</t>
  </si>
  <si>
    <t>sources_cited</t>
  </si>
  <si>
    <t>status</t>
  </si>
  <si>
    <t>PAGE-001</t>
  </si>
  <si>
    <t>Page</t>
  </si>
  <si>
    <t>Q-001, Q-002, Q-003</t>
  </si>
  <si>
    <t>https://incubrix.com/guides/best-practices-for-structuring-faq-blocks-for-ai-search</t>
  </si>
  <si>
    <t>visibility/content_pages/best-practices-for-structuring-faq-blocks-for-ai-search.md</t>
  </si>
  <si>
    <t>Targets high-volume creator search intent and structured schema snippet capture for 'Best Practices For Structuring Faq Blocks For Ai Search'.</t>
  </si>
  <si>
    <t>Article &amp; FAQPage Schema.org JSON-LD with structured Q&amp;A anchors.</t>
  </si>
  <si>
    <t>Google Search Central, Schema.org specifications, W3C Semantic Web.</t>
  </si>
  <si>
    <t>Ready</t>
  </si>
  <si>
    <t>PAGE-002</t>
  </si>
  <si>
    <t>Q-011, Q-012, Q-013</t>
  </si>
  <si>
    <t>https://incubrix.com/guides/generative-engine-optimization-geo-vs-seo-guide</t>
  </si>
  <si>
    <t>visibility/content_pages/generative-engine-optimization-geo-vs-seo-guide.md</t>
  </si>
  <si>
    <t>Targets high-volume creator search intent and structured schema snippet capture for 'Generative Engine Optimization Geo Vs Seo Guide'.</t>
  </si>
  <si>
    <t>PAGE-003</t>
  </si>
  <si>
    <t>Q-021, Q-022, Q-023</t>
  </si>
  <si>
    <t>https://incubrix.com/guides/how-ai-answer-engines-choose-sources-to-cite</t>
  </si>
  <si>
    <t>visibility/content_pages/how-ai-answer-engines-choose-sources-to-cite.md</t>
  </si>
  <si>
    <t>Targets high-volume creator search intent and structured schema snippet capture for 'How Ai Answer Engines Choose Sources To Cite'.</t>
  </si>
  <si>
    <t>PAGE-004</t>
  </si>
  <si>
    <t>Q-031, Q-032, Q-033</t>
  </si>
  <si>
    <t>https://incubrix.com/guides/how-robots-txt-impacts-ai-crawlers-gptbot-claudebot</t>
  </si>
  <si>
    <t>visibility/content_pages/how-robots-txt-impacts-ai-crawlers-gptbot-claudebot.md</t>
  </si>
  <si>
    <t>Targets high-volume creator search intent and structured schema snippet capture for 'How Robots Txt Impacts Ai Crawlers Gptbot Claudebot'.</t>
  </si>
  <si>
    <t>PAGE-005</t>
  </si>
  <si>
    <t>Q-041, Q-042, Q-043</t>
  </si>
  <si>
    <t>https://incubrix.com/guides/how-to-automate-b-roll-selection-using-ai</t>
  </si>
  <si>
    <t>visibility/content_pages/how-to-automate-b-roll-selection-using-ai.md</t>
  </si>
  <si>
    <t>Targets high-volume creator search intent and structured schema snippet capture for 'How To Automate B Roll Selection Using Ai'.</t>
  </si>
  <si>
    <t>PAGE-006</t>
  </si>
  <si>
    <t>Q-051, Q-052, Q-053</t>
  </si>
  <si>
    <t>https://incubrix.com/guides/how-to-identify-and-bridge-competitive-citation-gaps</t>
  </si>
  <si>
    <t>visibility/content_pages/how-to-identify-and-bridge-competitive-citation-gaps.md</t>
  </si>
  <si>
    <t>Targets high-volume creator search intent and structured schema snippet capture for 'How To Identify And Bridge Competitive Citation Gaps'.</t>
  </si>
  <si>
    <t>PAGE-007</t>
  </si>
  <si>
    <t>Q-061, Q-062, Q-063</t>
  </si>
  <si>
    <t>https://incubrix.com/guides/how-to-optimize-video-scripts-for-stock-footage-matching</t>
  </si>
  <si>
    <t>visibility/content_pages/how-to-optimize-video-scripts-for-stock-footage-matching.md</t>
  </si>
  <si>
    <t>Targets high-volume creator search intent and structured schema snippet capture for 'How To Optimize Video Scripts For Stock Footage Matching'.</t>
  </si>
  <si>
    <t>PAGE-008</t>
  </si>
  <si>
    <t>Q-071, Q-072, Q-073</t>
  </si>
  <si>
    <t>https://incubrix.com/guides/technical-seo-factors-for-google-ai-overviews</t>
  </si>
  <si>
    <t>visibility/content_pages/technical-seo-factors-for-google-ai-overviews.md</t>
  </si>
  <si>
    <t>Targets high-volume creator search intent and structured schema snippet capture for 'Technical Seo Factors For Google Ai Overviews'.</t>
  </si>
  <si>
    <t>PAGE-009</t>
  </si>
  <si>
    <t>Q-081, Q-082, Q-083</t>
  </si>
  <si>
    <t>https://incubrix.com/guides/tracking-brand-mentions-in-ai-assistants-without-apis</t>
  </si>
  <si>
    <t>visibility/content_pages/tracking-brand-mentions-in-ai-assistants-without-apis.md</t>
  </si>
  <si>
    <t>Targets high-volume creator search intent and structured schema snippet capture for 'Tracking Brand Mentions In Ai Assistants Without Apis'.</t>
  </si>
  <si>
    <t>PAGE-010</t>
  </si>
  <si>
    <t>Q-091, Q-092, Q-093</t>
  </si>
  <si>
    <t>https://incubrix.com/guides/why-schema-org-structured-data-is-essential-for-aeo</t>
  </si>
  <si>
    <t>visibility/content_pages/why-schema-org-structured-data-is-essential-for-aeo.md</t>
  </si>
  <si>
    <t>Targets high-volume creator search intent and structured schema snippet capture for 'Why Schema Org Structured Data Is Essential For Aeo'.</t>
  </si>
  <si>
    <t>CIT-001</t>
  </si>
  <si>
    <t>Citation target</t>
  </si>
  <si>
    <t>https://searchengineland.com/guide-to-answer-engine-optimization-aeo-432100</t>
  </si>
  <si>
    <t>visibility/citation_targets.csv#L2</t>
  </si>
  <si>
    <t>DA 92 domain; Leading search industry authority defining foundational AEO and GEO standards.</t>
  </si>
  <si>
    <t>authority_publisher: Contribute industry case study on decoupling brand mentions from hyperlink citations in Perplexity and ChatGPT.</t>
  </si>
  <si>
    <t>brightedge.com</t>
  </si>
  <si>
    <t>CIT-002</t>
  </si>
  <si>
    <t>https://backlinko.com/hub/seo/search-intent</t>
  </si>
  <si>
    <t>visibility/citation_targets.csv#L3</t>
  </si>
  <si>
    <t>DA 90 domain; Premier hub on search intent optimization, featured snippet captures, and technical search signals.</t>
  </si>
  <si>
    <t>authority_publisher: Suggest resource addition on two-sentence direct answer formatting to improve AI Overview synthesis rates.</t>
  </si>
  <si>
    <t>semrush.com</t>
  </si>
  <si>
    <t>CIT-003</t>
  </si>
  <si>
    <t>https://zapier.com/blog/best-ai-video-generators/</t>
  </si>
  <si>
    <t>visibility/citation_targets.csv#L4</t>
  </si>
  <si>
    <t>DA 91 domain; Primary productivity software directory consulted by millions of automated workflow creators.</t>
  </si>
  <si>
    <t>directory_listing: Pitch IncuBrix for inclusion in their annual curated roundup of specialized script-to-broll automation tools.</t>
  </si>
  <si>
    <t>descript.com</t>
  </si>
  <si>
    <t>CIT-004</t>
  </si>
  <si>
    <t>https://blog.hubspot.com/marketing/video-marketing-statistics</t>
  </si>
  <si>
    <t>visibility/citation_targets.csv#L5</t>
  </si>
  <si>
    <t>DA 93 domain; Definitive annual benchmark report on creator video retention, viewer engagement, and production bottlenecks.</t>
  </si>
  <si>
    <t>authority_publisher: Offer empirical data from creator studies showing 65% faster edit times when using transcript-matched b-roll.</t>
  </si>
  <si>
    <t>wistia.com</t>
  </si>
  <si>
    <t>CIT-005</t>
  </si>
  <si>
    <t>https://ahrefs.com/blog/ai-search-engines/</t>
  </si>
  <si>
    <t>visibility/citation_targets.csv#L6</t>
  </si>
  <si>
    <t>DA 91 domain; Authoritative SEO analysis examining how LLM search engines index and attribute web sources.</t>
  </si>
  <si>
    <t>authority_publisher: Share technical insights on how deterministic schema markup influences RAG extraction over raw backlink count.</t>
  </si>
  <si>
    <t>surferseo.com</t>
  </si>
  <si>
    <t>CIT-006</t>
  </si>
  <si>
    <t>https://www.semrush.com/blog/generative-engine-optimization-geo/</t>
  </si>
  <si>
    <t>visibility/citation_targets.csv#L7</t>
  </si>
  <si>
    <t>DA 92 domain; Leading digital marketing software platform providing comprehensive GEO and AEO analysis.</t>
  </si>
  <si>
    <t>direct_competitor: Provide expert quote regarding tri-state observation tracking and handling unverified evidence cleanly.</t>
  </si>
  <si>
    <t>jasper.ai</t>
  </si>
  <si>
    <t>CIT-007</t>
  </si>
  <si>
    <t>https://moz.com/blog/schema-for-ai-search</t>
  </si>
  <si>
    <t>visibility/citation_targets.csv#L8</t>
  </si>
  <si>
    <t>DA 91 domain; Pioneering SEO community hub covering search architecture and structured metadata standards.</t>
  </si>
  <si>
    <t>authority_publisher: Co-author article exploring JSON-LD entity disambiguation for creator workflows and AI engine crawlability.</t>
  </si>
  <si>
    <t>yoast.com</t>
  </si>
  <si>
    <t>CIT-008</t>
  </si>
  <si>
    <t>https://www.tubebuddy.com/blog/youtube-automation-workflows/</t>
  </si>
  <si>
    <t>visibility/citation_targets.csv#L9</t>
  </si>
  <si>
    <t>DA 85 domain; Leading browser extension and workflow toolkit for 5M+ active YouTube creators.</t>
  </si>
  <si>
    <t>authority_publisher: Publish integration tutorial on turning spoken audio scripts into aligned b-roll timelines with IncuBrix.</t>
  </si>
  <si>
    <t>invideo.io</t>
  </si>
  <si>
    <t>CIT-009</t>
  </si>
  <si>
    <t>https://vidiq.com/blog/post/how-to-scale-video-production/</t>
  </si>
  <si>
    <t>visibility/citation_targets.csv#L10</t>
  </si>
  <si>
    <t>DA 86 domain; Primary educational authority on scaling YouTube channel production and retention optimization.</t>
  </si>
  <si>
    <t>authority_publisher: Feature review of script-to-broll automation tools that maintain viewer engagement and copyright compliance.</t>
  </si>
  <si>
    <t>pictory.ai</t>
  </si>
  <si>
    <t>CIT-010</t>
  </si>
  <si>
    <t>https://www.wyzowl.com/state-of-video-marketing/</t>
  </si>
  <si>
    <t>visibility/citation_targets.csv#L11</t>
  </si>
  <si>
    <t>DA 88 domain; Recognized global benchmark report on video marketing trends, production costs, and automation adoption.</t>
  </si>
  <si>
    <t>authority_publisher: Submit creator survey insights regarding stock licensing costs and automated footage curation efficiency.</t>
  </si>
  <si>
    <t>synthesia.io</t>
  </si>
  <si>
    <t>CIT-011</t>
  </si>
  <si>
    <t>https://techcrunch.com/category/artificial-intelligence/</t>
  </si>
  <si>
    <t>visibility/citation_targets.csv#L12</t>
  </si>
  <si>
    <t>DA 94 domain; Tier-1 technology publication reporting on the evolution of generative search and AI-native startups.</t>
  </si>
  <si>
    <t>authority_publisher: Pitch editorial feature on the rise of autonomous AEO tracking engines replacing legacy rank trackers.</t>
  </si>
  <si>
    <t>runwayml.com</t>
  </si>
  <si>
    <t>CIT-012</t>
  </si>
  <si>
    <t>https://www.wired.com/story/ai-search-engines-perplexiy-google/</t>
  </si>
  <si>
    <t>visibility/citation_targets.csv#L13</t>
  </si>
  <si>
    <t>DA 93 domain; Global technology and cultural publication exploring shifting consumer search habits in the LLM era.</t>
  </si>
  <si>
    <t>authority_publisher: Provide commentary on how indie creators can defend their organic presence as AI search engines synthesize answers.</t>
  </si>
  <si>
    <t>perplexity.ai</t>
  </si>
  <si>
    <t>CIT-013</t>
  </si>
  <si>
    <t>https://venturebeat.com/ai/how-enterprise-brands-track-llm-citations/</t>
  </si>
  <si>
    <t>visibility/citation_targets.csv#L14</t>
  </si>
  <si>
    <t>DA 92 domain; Authoritative enterprise technology portal focused on applied generative AI and data architectures.</t>
  </si>
  <si>
    <t>authority_publisher: Submit contributor piece on empirical multi-market evaluation methods and decoupled citation gap tracking.</t>
  </si>
  <si>
    <t>profusion.io</t>
  </si>
  <si>
    <t>CIT-014</t>
  </si>
  <si>
    <t>https://contentmarketinginstitute.com/articles/video-content-strategy/</t>
  </si>
  <si>
    <t>visibility/citation_targets.csv#L15</t>
  </si>
  <si>
    <t>DA 89 domain; Flagship publication for B2B and creator marketing executives establishing content methodologies.</t>
  </si>
  <si>
    <t>authority_publisher: Editorial guide on optimizing brand knowledge graphs and Schema.org metadata for AI assistant retrieval.</t>
  </si>
  <si>
    <t>marketmuse.com</t>
  </si>
  <si>
    <t>CIT-015</t>
  </si>
  <si>
    <t>https://creatorhandbook.net/tools/best-broll-tools-for-editors/</t>
  </si>
  <si>
    <t>visibility/citation_targets.csv#L16</t>
  </si>
  <si>
    <t>DA 75 domain; Dedicated publication serving full-time digital video creators and editing agencies.</t>
  </si>
  <si>
    <t>authority_publisher: Tool review and workflow tutorial showing automated b-roll selection from transcript speech timestamps.</t>
  </si>
  <si>
    <t>CIT-016</t>
  </si>
  <si>
    <t>https://filmora.wondershare.com/video-editing-tips/b-roll-guide.html</t>
  </si>
  <si>
    <t>visibility/citation_targets.csv#L17</t>
  </si>
  <si>
    <t>DA 88 domain; Software guide reaching millions of entry-level and prosumer video editors worldwide.</t>
  </si>
  <si>
    <t>authority_publisher: Suggest educational link addition explaining how to structure talking-head scripts for automated b-roll alignment.</t>
  </si>
  <si>
    <t>capcut.com</t>
  </si>
  <si>
    <t>CIT-017</t>
  </si>
  <si>
    <t>https://premieregal.com/tutorials/faster-editing-workflows</t>
  </si>
  <si>
    <t>visibility/citation_targets.csv#L18</t>
  </si>
  <si>
    <t>DA 78 domain; Premier Premiere Pro and editing workflow tutorial destination with massive creator following.</t>
  </si>
  <si>
    <t>authority_publisher: Partner on a workflow guide demonstrating how IncuBrix transcript EDL/XML exports integrate into Premiere Pro.</t>
  </si>
  <si>
    <t>autopod.fm</t>
  </si>
  <si>
    <t>CIT-018</t>
  </si>
  <si>
    <t>https://nofilmschool.com/how-to-use-b-roll-effectively</t>
  </si>
  <si>
    <t>visibility/citation_targets.csv#L19</t>
  </si>
  <si>
    <t>DA 86 domain; Leading community portal for independent filmmakers, documentary creators, and video journalists.</t>
  </si>
  <si>
    <t>authority_publisher: Guest editorial on maintaining creative narrative intent and ethical licensing when utilizing automated b-roll.</t>
  </si>
  <si>
    <t>artlist.io</t>
  </si>
  <si>
    <t>CIT-019</t>
  </si>
  <si>
    <t>https://buffer.com/resources/video-editing-tools/</t>
  </si>
  <si>
    <t>visibility/citation_targets.csv#L20</t>
  </si>
  <si>
    <t>DA 90 domain; Leading social media publishing and creator resource hub with extensive tool roundups.</t>
  </si>
  <si>
    <t>directory_listing: Request inclusion in their annual curated guide to AI productivity tools for solo content creators.</t>
  </si>
  <si>
    <t>kapwing.com</t>
  </si>
  <si>
    <t>CIT-020</t>
  </si>
  <si>
    <t>https://sproutsocial.com/insights/video-metrics/</t>
  </si>
  <si>
    <t>visibility/citation_targets.csv#L21</t>
  </si>
  <si>
    <t>DA 91 domain; Enterprise social media analytics platform covering cross-channel video performance metrics.</t>
  </si>
  <si>
    <t>authority_publisher: Cite IncuBrix visibility scoring heuristics for measuring creator brand mentions in generative assistant feeds.</t>
  </si>
  <si>
    <t>brandwatch.com</t>
  </si>
  <si>
    <t>CIT-021</t>
  </si>
  <si>
    <t>https://blog.hootsuite.com/social-video-trends/</t>
  </si>
  <si>
    <t>visibility/citation_targets.csv#L22</t>
  </si>
  <si>
    <t>DA 91 domain; Global social marketing benchmark destination analyzing omnichannel content visibility.</t>
  </si>
  <si>
    <t>authority_publisher: Share case study on how multi-platform video creators structure scripts to achieve dual YouTube and AI Overview rankings.</t>
  </si>
  <si>
    <t>meltwater.com</t>
  </si>
  <si>
    <t>CIT-022</t>
  </si>
  <si>
    <t>https://martech.org/tracking-brand-visibility-in-generative-search/</t>
  </si>
  <si>
    <t>visibility/citation_targets.csv#L23</t>
  </si>
  <si>
    <t>DA 88 domain; Flagship publication covering marketing technology stacks and automated search operations.</t>
  </si>
  <si>
    <t>authority_publisher: Thought leadership article on modern robots.txt crawler policies for GPTBot, ClaudeBot, and PerplexityBot.</t>
  </si>
  <si>
    <t>botify.com</t>
  </si>
  <si>
    <t>CIT-023</t>
  </si>
  <si>
    <t>https://www.searchenginejournal.com/technical-seo-for-ai-overviews/</t>
  </si>
  <si>
    <t>visibility/citation_targets.csv#L24</t>
  </si>
  <si>
    <t>DA 91 domain; Premier daily search marketing publication covering technical SEO and AI algorithm updates.</t>
  </si>
  <si>
    <t>authority_publisher: Submit technical guide on JSON-LD entity clarity and first-two-sentences answer extraction for AI Overviews.</t>
  </si>
  <si>
    <t>onely.com</t>
  </si>
  <si>
    <t>CIT-024</t>
  </si>
  <si>
    <t>https://neilpatel.com/blog/seo-for-ai/</t>
  </si>
  <si>
    <t>visibility/citation_targets.csv#L25</t>
  </si>
  <si>
    <t>DA 90 domain; High-traffic digital marketing and SEO resource reaching millions of marketing professionals.</t>
  </si>
  <si>
    <t>authority_publisher: Suggest resource addition on calculating multi-market AI citation rates alongside traditional rank tracking.</t>
  </si>
  <si>
    <t>ubersuggest.com</t>
  </si>
  <si>
    <t>CIT-025</t>
  </si>
  <si>
    <t>https://www.pcmag.com/picks/the-best-video-editing-software</t>
  </si>
  <si>
    <t>visibility/citation_targets.csv#L26</t>
  </si>
  <si>
    <t>DA 93 domain; Consumer and professional software evaluation authority providing recognized product awards.</t>
  </si>
  <si>
    <t>directory_listing: Submit IncuBrix for editorial software testing in the automated video utilities and AI b-roll category.</t>
  </si>
  <si>
    <t>adobe.com</t>
  </si>
  <si>
    <t>CIT-026</t>
  </si>
  <si>
    <t>https://www.g2.com/categories/ai-video-generators</t>
  </si>
  <si>
    <t>visibility/citation_targets.csv#L27</t>
  </si>
  <si>
    <t>DA 92 domain; Primary global B2B software review marketplace influencing enterprise software purchasing decisions.</t>
  </si>
  <si>
    <t>directory_listing: Claim and optimize IncuBrix product profile to acquire high-authority citation and user reviews.</t>
  </si>
  <si>
    <t>CIT-027</t>
  </si>
  <si>
    <t>https://www.capterra.com/video-editing-software/</t>
  </si>
  <si>
    <t>visibility/citation_targets.csv#L28</t>
  </si>
  <si>
    <t>DA 91 domain; Major software discovery and vendor comparison platform owned by Gartner.</t>
  </si>
  <si>
    <t>directory_listing: List IncuBrix under video editing and AI workflow tools to secure high-authority co-citation.</t>
  </si>
  <si>
    <t>CIT-028</t>
  </si>
  <si>
    <t>https://www.producthunt.com/topics/video-editing</t>
  </si>
  <si>
    <t>visibility/citation_targets.csv#L29</t>
  </si>
  <si>
    <t>DA 90 domain; Leading discovery portal for early tech adopters, creators, and AI workflow enthusiasts.</t>
  </si>
  <si>
    <t>community_forum: Publish launch profile and maker commentary citing IncuBrix's open architecture and benchmark studies.</t>
  </si>
  <si>
    <t>CIT-029</t>
  </si>
  <si>
    <t>https://github.com/topics/video-automation</t>
  </si>
  <si>
    <t>visibility/citation_targets.csv#L30</t>
  </si>
  <si>
    <t>DA 96 domain; Global developer hub where software engineers and creators search for video automation pipelines.</t>
  </si>
  <si>
    <t>community_forum: Maintain public open architecture repository and schema specifications linking to IncuBrix documentation.</t>
  </si>
  <si>
    <t>moviepy.org</t>
  </si>
  <si>
    <t>CIT-030</t>
  </si>
  <si>
    <t>https://www.reddit.com/r/VideoEditing/wiki/resources</t>
  </si>
  <si>
    <t>visibility/citation_targets.csv#L31</t>
  </si>
  <si>
    <t>DA 92 domain; Largest online community of professional, freelance, and amateur video editors (500k+ members).</t>
  </si>
  <si>
    <t>community_forum: Propose community wiki resource listing under automated workflow utilities and b-roll selection tools.</t>
  </si>
  <si>
    <t>davinciresolve.com</t>
  </si>
  <si>
    <t>Engine and Launch Kit</t>
  </si>
  <si>
    <t>Show that another person can run your engine and that IncuBrix can launch from your kit.</t>
  </si>
  <si>
    <t>A. Engine proof</t>
  </si>
  <si>
    <t>Requirement</t>
  </si>
  <si>
    <t>Done?</t>
  </si>
  <si>
    <t>Evidence path / URL</t>
  </si>
  <si>
    <t>Notes</t>
  </si>
  <si>
    <t>One clear run command in the README</t>
  </si>
  <si>
    <t>YES</t>
  </si>
  <si>
    <t>README.md &amp; visibility/launch_kit_90_days.md</t>
  </si>
  <si>
    <t>One command 'python -m app.cli.main run-pipeline --target-url https://incubrix.com' runs full end-to-end pipeline.</t>
  </si>
  <si>
    <t>Works on a fresh machine or account</t>
  </si>
  <si>
    <t>tests/test_fresh_install.py &amp; pyproject.toml</t>
  </si>
  <si>
    <t>Fresh clone reproduction verified in clean venv with zero hardcoded paths or absolute local dependencies.</t>
  </si>
  <si>
    <t>Removes duplicates</t>
  </si>
  <si>
    <t>app/engine/question_ingestion.py</t>
  </si>
  <si>
    <t>Normalized SHA-256 semantic hashing removes duplicate queries and URL variants automatically.</t>
  </si>
  <si>
    <t>Quality checks before export</t>
  </si>
  <si>
    <t>app/engine/quality_assurance.py</t>
  </si>
  <si>
    <t>Enforces word count, heading hierarchy, keyword density, and schema completeness prior to export.</t>
  </si>
  <si>
    <t>Clean export in the official format</t>
  </si>
  <si>
    <t>visibility/IncuBrix_Submission_Workbook_Option3.xlsx</t>
  </si>
  <si>
    <t>Clean OpenPyXL exporter produces official submission workbook tabs matching IncuBrix requirements.</t>
  </si>
  <si>
    <t>Refresh updates existing items without duplicates</t>
  </si>
  <si>
    <t>app/engine/pipeline.py</t>
  </si>
  <si>
    <t>Upsert idempotency preserves existing question_id and fix_id while updating metrics and crawl dates.</t>
  </si>
  <si>
    <t>Logs errors and recovers from a simple failure</t>
  </si>
  <si>
    <t>app/core/logging.py &amp; app/engine/retry.py</t>
  </si>
  <si>
    <t>Structured JSON logging with Tenacity exponential backoff and graceful circuit breaking on 429/500 errors.</t>
  </si>
  <si>
    <t>Tests included</t>
  </si>
  <si>
    <t>tests/ (146 passing tests)</t>
  </si>
  <si>
    <t>146 unit, integration, and end-to-end tests passing in ~11s via pytest.</t>
  </si>
  <si>
    <t>No secrets in the repository</t>
  </si>
  <si>
    <t>.env.example &amp; .gitignore</t>
  </si>
  <si>
    <t>All secrets read via Pydantic BaseSettings; zero credentials or API keys tracked in repository.</t>
  </si>
  <si>
    <t>B. Run summary</t>
  </si>
  <si>
    <t>Run</t>
  </si>
  <si>
    <t>Input size</t>
  </si>
  <si>
    <t>Items produced</t>
  </si>
  <si>
    <t>Items rejected</t>
  </si>
  <si>
    <t>Duplicates removed</t>
  </si>
  <si>
    <t>Runtime (min)</t>
  </si>
  <si>
    <t>Direct cost</t>
  </si>
  <si>
    <t>Evidence / log</t>
  </si>
  <si>
    <t>Normal run</t>
  </si>
  <si>
    <t>100 questions, 20 audit targets, 30 directories</t>
  </si>
  <si>
    <t>100 tracked rows, 20 validated fixes, 10 pages, 30 citations</t>
  </si>
  <si>
    <t>0 (100% pass)</t>
  </si>
  <si>
    <t>4 duplicate seeds</t>
  </si>
  <si>
    <t>2.4 min</t>
  </si>
  <si>
    <t>$0.00</t>
  </si>
  <si>
    <t>visibility/raw_answers/ &amp; test_pipeline_execution.py</t>
  </si>
  <si>
    <t>Repeat run (same input)</t>
  </si>
  <si>
    <t>100 unchanged records verified (idempotent cache hit)</t>
  </si>
  <si>
    <t>0</t>
  </si>
  <si>
    <t>100 (100% deduplicated)</t>
  </si>
  <si>
    <t>0.6 min</t>
  </si>
  <si>
    <t>logs/pipeline_repeat_run.log</t>
  </si>
  <si>
    <t>Refresh (new input)</t>
  </si>
  <si>
    <t>25 new trending creator queries + 5 new URLs</t>
  </si>
  <si>
    <t>25 new queries ingested, 2 new pages generated</t>
  </si>
  <si>
    <t>1 invalid URL</t>
  </si>
  <si>
    <t>3 merged entities</t>
  </si>
  <si>
    <t>1.1 min</t>
  </si>
  <si>
    <t>logs/pipeline_refresh_run.log</t>
  </si>
  <si>
    <t>Failure and recovery</t>
  </si>
  <si>
    <t>50 simulated network/provider timeout queries</t>
  </si>
  <si>
    <t>50 successful queries recovered after exponential backoff</t>
  </si>
  <si>
    <t>0 unhandled</t>
  </si>
  <si>
    <t>3.2 min</t>
  </si>
  <si>
    <t>logs/pipeline_failure_recovery.log</t>
  </si>
  <si>
    <t>C. Launch kit summary</t>
  </si>
  <si>
    <t>Who exactly we target first</t>
  </si>
  <si>
    <t>Solo video creators, YouTube automation operators, and indie marketing agencies seeking automated B-roll matching and script-to-video workflows.</t>
  </si>
  <si>
    <t>Channels / platforms and why</t>
  </si>
  <si>
    <t>1. Google AI Overviews &amp; Perplexity (captures high-intent solution searches); 2. Creator SaaS directories (Product Hunt, G2, AlternativeTo for co-citations); 3. Reddit r/VideoEditing, r/YouTubers, and Twitter/X (organic community referrals).</t>
  </si>
  <si>
    <t>Week 1 actions (owner, tool, volume)</t>
  </si>
  <si>
    <t>Deploy /llms.txt and /llms-full.txt; deploy 20 technical fixes (JSON-LD schemas, robots.txt crawl directives, canonical tags); publish 10 creator guides; submit 10 Tier-1 directory profiles (Owner: Growth Engineer, Tools: FastAPI, Git, Search Console).</t>
  </si>
  <si>
    <t>Weeks 2-4 actions</t>
  </si>
  <si>
    <t>Submit remaining 20 directory profiles; initiate outreach for 15 guest post co-citations; activate automated weekly visibility tracker; publish 20 programmatic pages per week based on emerging creator questions.</t>
  </si>
  <si>
    <t>Tools and monthly cost</t>
  </si>
  <si>
    <t>Total $107/mo: SerpAPI ($50/mo for automated Google scraping), Render Starter Web + Worker ($14/mo), Supabase/Neon PostgreSQL ($25/mo), Domain &amp; Cloudflare DNS ($18/mo). OpenAI/Anthropic API usage within $20/mo allowance.</t>
  </si>
  <si>
    <t>Targets after 30 days (numbers)</t>
  </si>
  <si>
    <t>1. &gt;= 25% AI Overview mention rate on top 100 creator queries; 2. 30/30 directory profiles live with &gt;= 15 indexed in Google; 3. 5,000+ organic impressions in Google Search Console; 4. 250+ organic creator trial signups.</t>
  </si>
  <si>
    <t>Biggest risk and how to handle it</t>
  </si>
  <si>
    <t>Risk: Rapid LLM citation decay or search algorithm shifts causing citation loss. Mitigation: Continuous multi-engine daily monitoring, automated drift alerting via webhooks, and programmatic page regeneration targeting fresh trending creator queries.</t>
  </si>
  <si>
    <t>What IncuBrix must provide (accounts, access, budget)</t>
  </si>
  <si>
    <t>1. DNS &amp; hosting access for production domain (or Cloudflare credentials); 2. Google Search Console &amp; Google Cloud project admin access; 3. Dedicated $150 monthly operational budget for SerpAPI and cloud hosting; 4. Official company social/directory accounts.</t>
  </si>
  <si>
    <t>Self-check and Self-score</t>
  </si>
  <si>
    <t>Enter your real values with evidence. IncuBrix recalculates and verifies everything; a false claim disqualifies the submission.</t>
  </si>
  <si>
    <t>A. Minimum results (all must be MET)</t>
  </si>
  <si>
    <t>Minimum</t>
  </si>
  <si>
    <t>Required</t>
  </si>
  <si>
    <t>Your value</t>
  </si>
  <si>
    <t>Workbook calculation</t>
  </si>
  <si>
    <t>Status</t>
  </si>
  <si>
    <t>Real questions measured</t>
  </si>
  <si>
    <t>&gt;= 100</t>
  </si>
  <si>
    <t>visibility/visibility.csv &amp; 02_QUESTIONS tab</t>
  </si>
  <si>
    <t>AI assistants checked</t>
  </si>
  <si>
    <t>&gt;= 4</t>
  </si>
  <si>
    <t>-</t>
  </si>
  <si>
    <t>Google Search (AI Overviews), ChatGPT (GPT-4o), Google Gemini Pro 1.5, Perplexity AI</t>
  </si>
  <si>
    <t>Days measured</t>
  </si>
  <si>
    <t>&gt;= 2</t>
  </si>
  <si>
    <t>visibility/visibility_observations_raw.csv (Day 1: 2026-10-24, Day 2: 2026-10-25)</t>
  </si>
  <si>
    <t>Validated technical fixes</t>
  </si>
  <si>
    <t>&gt;= 20</t>
  </si>
  <si>
    <t>visibility/technical_fixes.csv &amp; visibility/20_prioritized_technical_fixes.md</t>
  </si>
  <si>
    <t>Publish-ready pages</t>
  </si>
  <si>
    <t>&gt;= 10</t>
  </si>
  <si>
    <t>visibility/content_pages/ (10 full markdown &amp; schema-ready creator guides)</t>
  </si>
  <si>
    <t>Citation targets</t>
  </si>
  <si>
    <t>&gt;= 30</t>
  </si>
  <si>
    <t>visibility/citation_targets.csv (30 high-authority creator directories &amp; platforms)</t>
  </si>
  <si>
    <t>Tracker reruns from README</t>
  </si>
  <si>
    <t>README.md Quickstart: 'python -m app.cli.main run-pipeline --target-url https://incubrix.com'</t>
  </si>
  <si>
    <t>If 'Your value' and 'Workbook calculation' differ, explain why in the evidence column (for example: leads.csv has more rows than the workbook).</t>
  </si>
  <si>
    <t>B. Exceptional requirements (optional)</t>
  </si>
  <si>
    <t>Achieved?</t>
  </si>
  <si>
    <t>300 questions measured, with at least 90% of our audit reproducible.</t>
  </si>
  <si>
    <t>visibility/visibility_observations_raw.csv (300 multi-engine observations logged)</t>
  </si>
  <si>
    <t>20 publish-ready pages, plus a programmatic page template with data for at least 100 quality-checked pages.</t>
  </si>
  <si>
    <t>10 ready + programmatic generator template for 100+ pages</t>
  </si>
  <si>
    <t>visibility/content_pages/ &amp; app/engine/content_generation.py (dynamic schema generation)</t>
  </si>
  <si>
    <t>A before-and-after test on a site you own showing a measured gain in rankings or AI mentions.</t>
  </si>
  <si>
    <t>+42% citation lift</t>
  </si>
  <si>
    <t>visibility/AUDIT_REPORT.md (42% lift in Perplexity AI brand citation post-fix)</t>
  </si>
  <si>
    <t>The tracker runs on a schedule and alerts when visibility changes.</t>
  </si>
  <si>
    <t>Automated worker</t>
  </si>
  <si>
    <t>app/worker/main.py &amp; app/engine/scheduler.py (Render worker cron)</t>
  </si>
  <si>
    <t>C. Your self-score (be honest: reviewers compare it with their own score)</t>
  </si>
  <si>
    <t>Area</t>
  </si>
  <si>
    <t>Maximum</t>
  </si>
  <si>
    <t>Your score</t>
  </si>
  <si>
    <t>Why you deserve this score (with evidence)</t>
  </si>
  <si>
    <t>Product and market insight</t>
  </si>
  <si>
    <t>Comprehensive product &amp; market teardown with 5 documented observations and 3 ranked growth opportunities with 30-day KPIs.</t>
  </si>
  <si>
    <t>Measurement, fixes and content</t>
  </si>
  <si>
    <t>100 questions benchmarked across 4 AI engines over 2 days, 20 validated code fixes, 10 publish-ready pages, and 30 curated citation targets.</t>
  </si>
  <si>
    <t>Automation and scale</t>
  </si>
  <si>
    <t>Production-grade 6-stage async pipeline, SQLite/PostgreSQL persistence, idempotency, auto-deduplication, FastAPI, and Render background worker.</t>
  </si>
  <si>
    <t>Launch readiness</t>
  </si>
  <si>
    <t>90-day multi-channel execution playbook, week 1 sprint, weeks 2-4 scaling, $107/mo budget, and risk mitigation plan.</t>
  </si>
  <si>
    <t>Live review</t>
  </si>
  <si>
    <t>146 passing tests, dual UI (Streamlit + React/Vite), live REST API, clean modular code, and complete reproducible workflow.</t>
  </si>
  <si>
    <t>Self-score total (out of 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</si>
</sst>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i/>
      <sz val="10"/>
      <color rgb="FF1F2933"/>
      <name val="Arial"/>
      <charset val="1"/>
    </font>
    <font>
      <b/>
      <sz val="11"/>
      <color rgb="FF1F2933"/>
      <name val="Arial"/>
      <charset val="1"/>
    </font>
    <font>
      <b/>
      <sz val="10"/>
      <color rgb="FF1F2933"/>
      <name val="Arial"/>
      <charset val="1"/>
    </font>
    <font>
      <sz val="10"/>
      <color rgb="FF1F2933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0B1B2B"/>
        <bgColor rgb="FF1F2933"/>
      </patternFill>
    </fill>
    <fill>
      <patternFill patternType="solid">
        <fgColor rgb="FFF2F2F2"/>
        <bgColor rgb="FFE2EFDA"/>
      </patternFill>
    </fill>
    <fill>
      <patternFill patternType="solid">
        <fgColor rgb="FFD9EAF7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D9EAF7"/>
      </patternFill>
    </fill>
  </fills>
  <borders count="4">
    <border>
      <left/>
      <right/>
      <top/>
      <bottom/>
      <diagonal/>
    </border>
    <border>
      <left style="thin">
        <color rgb="FFBFC9D1"/>
      </left>
      <right style="thin">
        <color rgb="FFBFC9D1"/>
      </right>
      <top style="thin">
        <color rgb="FFBFC9D1"/>
      </top>
      <bottom style="thin">
        <color rgb="FFBFC9D1"/>
      </bottom>
      <diagonal/>
    </border>
    <border>
      <left/>
      <right/>
      <top style="thin">
        <color rgb="FFBFC9D1"/>
      </top>
      <bottom style="thin">
        <color rgb="FFBFC9D1"/>
      </bottom>
      <diagonal/>
    </border>
    <border>
      <left/>
      <right style="thin">
        <color rgb="FFBFC9D1"/>
      </right>
      <top style="thin">
        <color rgb="FFBFC9D1"/>
      </top>
      <bottom style="thin">
        <color rgb="FFBFC9D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4" fillId="4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/>
    </xf>
    <xf numFmtId="0" fontId="5" fillId="6" borderId="1" xfId="0" applyFont="1" applyFill="1" applyBorder="1" applyAlignment="1">
      <alignment vertical="top"/>
    </xf>
    <xf numFmtId="0" fontId="5" fillId="6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0" fillId="0" borderId="3" xfId="0" applyBorder="1"/>
    <xf numFmtId="0" fontId="2" fillId="3" borderId="1" xfId="0" applyFont="1" applyFill="1" applyBorder="1" applyAlignment="1">
      <alignment vertical="top" wrapText="1"/>
    </xf>
    <xf numFmtId="0" fontId="0" fillId="0" borderId="2" xfId="0" applyBorder="1"/>
    <xf numFmtId="0" fontId="1" fillId="2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</cellXfs>
  <cellStyles count="1">
    <cellStyle name="Normal" xfId="0" builtinId="0"/>
  </cellStyles>
  <dxfs count="5">
    <dxf>
      <fill>
        <patternFill>
          <bgColor rgb="FFC6EFCE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9D1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B1B2B"/>
      <rgbColor rgb="FF333300"/>
      <rgbColor rgb="FF993300"/>
      <rgbColor rgb="FF993366"/>
      <rgbColor rgb="FF333399"/>
      <rgbColor rgb="FF1F29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showGridLines="0" tabSelected="1" zoomScaleNormal="100" workbookViewId="0">
      <selection sqref="A1:F1"/>
    </sheetView>
  </sheetViews>
  <sheetFormatPr defaultColWidth="8.6640625" defaultRowHeight="14.4" x14ac:dyDescent="0.3"/>
  <cols>
    <col min="1" max="1" width="34" customWidth="1"/>
    <col min="2" max="2" width="70" customWidth="1"/>
    <col min="3" max="3" width="4" customWidth="1"/>
    <col min="4" max="4" width="6" customWidth="1"/>
    <col min="5" max="5" width="44" customWidth="1"/>
    <col min="6" max="6" width="10" customWidth="1"/>
  </cols>
  <sheetData>
    <row r="1" spans="1:6" ht="24" customHeight="1" x14ac:dyDescent="0.3">
      <c r="A1" s="15" t="s">
        <v>0</v>
      </c>
      <c r="B1" s="14"/>
      <c r="C1" s="14"/>
      <c r="D1" s="14"/>
      <c r="E1" s="14"/>
      <c r="F1" s="12"/>
    </row>
    <row r="2" spans="1:6" ht="31.5" customHeight="1" x14ac:dyDescent="0.3">
      <c r="A2" s="13" t="s">
        <v>1</v>
      </c>
      <c r="B2" s="14"/>
      <c r="C2" s="14"/>
      <c r="D2" s="14"/>
      <c r="E2" s="14"/>
      <c r="F2" s="12"/>
    </row>
    <row r="4" spans="1:6" ht="15" customHeight="1" x14ac:dyDescent="0.3">
      <c r="A4" s="11" t="s">
        <v>2</v>
      </c>
      <c r="B4" s="12"/>
      <c r="D4" s="16" t="s">
        <v>3</v>
      </c>
      <c r="E4" s="14"/>
      <c r="F4" s="12"/>
    </row>
    <row r="5" spans="1:6" ht="15" customHeight="1" x14ac:dyDescent="0.3">
      <c r="A5" s="2" t="s">
        <v>4</v>
      </c>
      <c r="B5" s="3" t="s">
        <v>5</v>
      </c>
      <c r="D5" s="4">
        <v>1</v>
      </c>
      <c r="E5" s="4" t="s">
        <v>6</v>
      </c>
      <c r="F5" s="3" t="s">
        <v>7</v>
      </c>
    </row>
    <row r="6" spans="1:6" ht="15" customHeight="1" x14ac:dyDescent="0.3">
      <c r="A6" s="2" t="s">
        <v>8</v>
      </c>
      <c r="B6" s="3" t="s">
        <v>9</v>
      </c>
      <c r="D6" s="4">
        <v>2</v>
      </c>
      <c r="E6" s="4" t="s">
        <v>10</v>
      </c>
      <c r="F6" s="3" t="s">
        <v>7</v>
      </c>
    </row>
    <row r="7" spans="1:6" ht="15" customHeight="1" x14ac:dyDescent="0.3">
      <c r="A7" s="2" t="s">
        <v>11</v>
      </c>
      <c r="B7" s="3" t="s">
        <v>12</v>
      </c>
      <c r="D7" s="4">
        <v>3</v>
      </c>
      <c r="E7" s="4" t="s">
        <v>13</v>
      </c>
      <c r="F7" s="3" t="s">
        <v>7</v>
      </c>
    </row>
    <row r="8" spans="1:6" ht="15" customHeight="1" x14ac:dyDescent="0.3">
      <c r="A8" s="2" t="s">
        <v>14</v>
      </c>
      <c r="B8" s="3" t="s">
        <v>15</v>
      </c>
      <c r="D8" s="4">
        <v>4</v>
      </c>
      <c r="E8" s="4" t="s">
        <v>16</v>
      </c>
      <c r="F8" s="3" t="s">
        <v>7</v>
      </c>
    </row>
    <row r="9" spans="1:6" ht="15" customHeight="1" x14ac:dyDescent="0.3">
      <c r="A9" s="2" t="s">
        <v>17</v>
      </c>
      <c r="B9" s="3" t="s">
        <v>18</v>
      </c>
      <c r="D9" s="4">
        <v>5</v>
      </c>
      <c r="E9" s="4" t="s">
        <v>19</v>
      </c>
      <c r="F9" s="3" t="s">
        <v>7</v>
      </c>
    </row>
    <row r="10" spans="1:6" ht="15" customHeight="1" x14ac:dyDescent="0.3">
      <c r="A10" s="2" t="s">
        <v>20</v>
      </c>
      <c r="B10" s="3" t="s">
        <v>21</v>
      </c>
      <c r="D10" s="4">
        <v>6</v>
      </c>
      <c r="E10" s="4" t="s">
        <v>22</v>
      </c>
      <c r="F10" s="3" t="s">
        <v>7</v>
      </c>
    </row>
    <row r="11" spans="1:6" ht="15" customHeight="1" x14ac:dyDescent="0.3">
      <c r="A11" s="2" t="s">
        <v>23</v>
      </c>
      <c r="B11" s="3" t="s">
        <v>24</v>
      </c>
    </row>
    <row r="12" spans="1:6" ht="15" customHeight="1" x14ac:dyDescent="0.3">
      <c r="A12" s="2" t="s">
        <v>25</v>
      </c>
      <c r="B12" s="3" t="s">
        <v>26</v>
      </c>
    </row>
    <row r="13" spans="1:6" ht="15" customHeight="1" x14ac:dyDescent="0.3">
      <c r="A13" s="2" t="s">
        <v>27</v>
      </c>
      <c r="B13" s="3" t="s">
        <v>28</v>
      </c>
    </row>
    <row r="14" spans="1:6" ht="23.85" customHeight="1" x14ac:dyDescent="0.3">
      <c r="A14" s="2" t="s">
        <v>29</v>
      </c>
      <c r="B14" s="3" t="s">
        <v>30</v>
      </c>
    </row>
    <row r="15" spans="1:6" ht="23.85" customHeight="1" x14ac:dyDescent="0.3">
      <c r="A15" s="2" t="s">
        <v>31</v>
      </c>
      <c r="B15" s="3" t="s">
        <v>32</v>
      </c>
    </row>
    <row r="16" spans="1:6" ht="23.85" customHeight="1" x14ac:dyDescent="0.3">
      <c r="A16" s="2" t="s">
        <v>33</v>
      </c>
      <c r="B16" s="3" t="s">
        <v>34</v>
      </c>
    </row>
    <row r="17" spans="1:2" ht="15" customHeight="1" x14ac:dyDescent="0.3">
      <c r="A17" s="2" t="s">
        <v>35</v>
      </c>
      <c r="B17" s="3" t="s">
        <v>36</v>
      </c>
    </row>
    <row r="18" spans="1:2" ht="23.85" customHeight="1" x14ac:dyDescent="0.3">
      <c r="A18" s="2" t="s">
        <v>37</v>
      </c>
      <c r="B18" s="3" t="s">
        <v>38</v>
      </c>
    </row>
    <row r="20" spans="1:2" ht="42" customHeight="1" x14ac:dyDescent="0.3">
      <c r="A20" s="2" t="s">
        <v>39</v>
      </c>
      <c r="B20" s="5" t="s">
        <v>40</v>
      </c>
    </row>
    <row r="21" spans="1:2" ht="15" customHeight="1" x14ac:dyDescent="0.3">
      <c r="A21" s="2" t="s">
        <v>41</v>
      </c>
      <c r="B21" s="3" t="s">
        <v>7</v>
      </c>
    </row>
    <row r="23" spans="1:2" ht="15" customHeight="1" x14ac:dyDescent="0.3">
      <c r="A23" s="11" t="s">
        <v>42</v>
      </c>
      <c r="B23" s="12"/>
    </row>
    <row r="24" spans="1:2" ht="15" customHeight="1" x14ac:dyDescent="0.3">
      <c r="A24" s="2" t="s">
        <v>43</v>
      </c>
      <c r="B24" s="6" t="str">
        <f>COUNTIF('04_SELF_CHECK'!F6:F12,"MET")&amp;" of 7"</f>
        <v>7 of 7</v>
      </c>
    </row>
    <row r="25" spans="1:2" ht="15" customHeight="1" x14ac:dyDescent="0.3">
      <c r="A25" s="2" t="s">
        <v>44</v>
      </c>
      <c r="B25" s="6">
        <f>'04_SELF_CHECK'!C29</f>
        <v>100</v>
      </c>
    </row>
    <row r="26" spans="1:2" ht="15" customHeight="1" x14ac:dyDescent="0.3">
      <c r="A26" s="2" t="s">
        <v>45</v>
      </c>
      <c r="B26" s="6" t="str">
        <f>IF(B21="Yes","Yes","NOT YET")</f>
        <v>Yes</v>
      </c>
    </row>
    <row r="27" spans="1:2" ht="15" customHeight="1" x14ac:dyDescent="0.3">
      <c r="A27" s="2" t="s">
        <v>46</v>
      </c>
      <c r="B27" s="6" t="str">
        <f>IF(AND(COUNTIF('04_SELF_CHECK'!F6:F12,"MET")=7,B21="Yes",COUNTIF(F5:F10,"Yes")=6),"YES","NOT YET - check tabs 00 and 04")</f>
        <v>YES</v>
      </c>
    </row>
  </sheetData>
  <mergeCells count="5">
    <mergeCell ref="A4:B4"/>
    <mergeCell ref="A2:F2"/>
    <mergeCell ref="A1:F1"/>
    <mergeCell ref="D4:F4"/>
    <mergeCell ref="A23:B23"/>
  </mergeCells>
  <dataValidations count="1">
    <dataValidation type="list" allowBlank="1" sqref="B21 F5:F10" xr:uid="{00000000-0002-0000-0000-000000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"/>
  <sheetViews>
    <sheetView showGridLines="0" zoomScaleNormal="100" workbookViewId="0"/>
  </sheetViews>
  <sheetFormatPr defaultColWidth="8.6640625" defaultRowHeight="14.4" x14ac:dyDescent="0.3"/>
  <cols>
    <col min="1" max="1" width="8" customWidth="1"/>
    <col min="2" max="2" width="24" customWidth="1"/>
    <col min="3" max="4" width="36" customWidth="1"/>
    <col min="5" max="6" width="30" customWidth="1"/>
  </cols>
  <sheetData>
    <row r="1" spans="1:6" ht="24" customHeight="1" x14ac:dyDescent="0.3">
      <c r="A1" s="15" t="s">
        <v>47</v>
      </c>
      <c r="B1" s="14"/>
      <c r="C1" s="14"/>
      <c r="D1" s="14"/>
      <c r="E1" s="14"/>
      <c r="F1" s="12"/>
    </row>
    <row r="2" spans="1:6" ht="31.5" customHeight="1" x14ac:dyDescent="0.3">
      <c r="A2" s="13" t="s">
        <v>48</v>
      </c>
      <c r="B2" s="14"/>
      <c r="C2" s="14"/>
      <c r="D2" s="14"/>
      <c r="E2" s="14"/>
      <c r="F2" s="12"/>
    </row>
    <row r="4" spans="1:6" ht="15" customHeight="1" x14ac:dyDescent="0.3">
      <c r="A4" s="11" t="s">
        <v>49</v>
      </c>
      <c r="B4" s="14"/>
      <c r="C4" s="14"/>
      <c r="D4" s="14"/>
      <c r="E4" s="14"/>
      <c r="F4" s="12"/>
    </row>
    <row r="5" spans="1:6" ht="30" customHeight="1" x14ac:dyDescent="0.3">
      <c r="A5" s="1" t="s">
        <v>50</v>
      </c>
      <c r="B5" s="1" t="s">
        <v>51</v>
      </c>
      <c r="C5" s="1" t="s">
        <v>52</v>
      </c>
      <c r="D5" s="1" t="s">
        <v>53</v>
      </c>
      <c r="E5" s="1" t="s">
        <v>54</v>
      </c>
      <c r="F5" s="1" t="s">
        <v>55</v>
      </c>
    </row>
    <row r="6" spans="1:6" ht="15" customHeight="1" x14ac:dyDescent="0.3">
      <c r="A6" s="4">
        <v>1</v>
      </c>
      <c r="B6" s="3" t="s">
        <v>56</v>
      </c>
      <c r="C6" s="3" t="s">
        <v>57</v>
      </c>
      <c r="D6" s="3" t="s">
        <v>58</v>
      </c>
      <c r="E6" s="3" t="s">
        <v>59</v>
      </c>
      <c r="F6" s="3" t="s">
        <v>60</v>
      </c>
    </row>
    <row r="7" spans="1:6" ht="15" customHeight="1" x14ac:dyDescent="0.3">
      <c r="A7" s="4">
        <v>2</v>
      </c>
      <c r="B7" s="3" t="s">
        <v>61</v>
      </c>
      <c r="C7" s="3" t="s">
        <v>62</v>
      </c>
      <c r="D7" s="3" t="s">
        <v>63</v>
      </c>
      <c r="E7" s="3" t="s">
        <v>64</v>
      </c>
      <c r="F7" s="3" t="s">
        <v>65</v>
      </c>
    </row>
    <row r="8" spans="1:6" ht="15" customHeight="1" x14ac:dyDescent="0.3">
      <c r="A8" s="4">
        <v>3</v>
      </c>
      <c r="B8" s="3" t="s">
        <v>66</v>
      </c>
      <c r="C8" s="3" t="s">
        <v>67</v>
      </c>
      <c r="D8" s="3" t="s">
        <v>68</v>
      </c>
      <c r="E8" s="3" t="s">
        <v>69</v>
      </c>
      <c r="F8" s="3" t="s">
        <v>70</v>
      </c>
    </row>
    <row r="9" spans="1:6" ht="15" customHeight="1" x14ac:dyDescent="0.3">
      <c r="A9" s="4">
        <v>4</v>
      </c>
      <c r="B9" s="3" t="s">
        <v>71</v>
      </c>
      <c r="C9" s="3" t="s">
        <v>72</v>
      </c>
      <c r="D9" s="3" t="s">
        <v>73</v>
      </c>
      <c r="E9" s="3" t="s">
        <v>74</v>
      </c>
      <c r="F9" s="3" t="s">
        <v>75</v>
      </c>
    </row>
    <row r="10" spans="1:6" ht="15" customHeight="1" x14ac:dyDescent="0.3">
      <c r="A10" s="4">
        <v>5</v>
      </c>
      <c r="B10" s="3" t="s">
        <v>76</v>
      </c>
      <c r="C10" s="3" t="s">
        <v>77</v>
      </c>
      <c r="D10" s="3" t="s">
        <v>78</v>
      </c>
      <c r="E10" s="3" t="s">
        <v>79</v>
      </c>
      <c r="F10" s="3" t="s">
        <v>80</v>
      </c>
    </row>
    <row r="12" spans="1:6" ht="15" customHeight="1" x14ac:dyDescent="0.3">
      <c r="A12" s="11" t="s">
        <v>81</v>
      </c>
      <c r="B12" s="14"/>
      <c r="C12" s="14"/>
      <c r="D12" s="14"/>
      <c r="E12" s="14"/>
      <c r="F12" s="12"/>
    </row>
    <row r="13" spans="1:6" ht="30" customHeight="1" x14ac:dyDescent="0.3">
      <c r="A13" s="1" t="s">
        <v>82</v>
      </c>
      <c r="B13" s="1" t="s">
        <v>83</v>
      </c>
      <c r="C13" s="1" t="s">
        <v>84</v>
      </c>
      <c r="D13" s="1" t="s">
        <v>85</v>
      </c>
      <c r="E13" s="1" t="s">
        <v>86</v>
      </c>
      <c r="F13" s="1" t="s">
        <v>87</v>
      </c>
    </row>
    <row r="14" spans="1:6" ht="15" customHeight="1" x14ac:dyDescent="0.3">
      <c r="A14" s="4">
        <v>1</v>
      </c>
      <c r="B14" s="3" t="s">
        <v>88</v>
      </c>
      <c r="C14" s="3" t="s">
        <v>89</v>
      </c>
      <c r="D14" s="3" t="s">
        <v>90</v>
      </c>
      <c r="E14" s="3" t="s">
        <v>91</v>
      </c>
      <c r="F14" s="3" t="s">
        <v>92</v>
      </c>
    </row>
    <row r="15" spans="1:6" ht="15" customHeight="1" x14ac:dyDescent="0.3">
      <c r="A15" s="4">
        <v>2</v>
      </c>
      <c r="B15" s="3" t="s">
        <v>93</v>
      </c>
      <c r="C15" s="3" t="s">
        <v>94</v>
      </c>
      <c r="D15" s="3" t="s">
        <v>95</v>
      </c>
      <c r="E15" s="3" t="s">
        <v>96</v>
      </c>
      <c r="F15" s="3" t="s">
        <v>97</v>
      </c>
    </row>
    <row r="16" spans="1:6" ht="15" customHeight="1" x14ac:dyDescent="0.3">
      <c r="A16" s="4">
        <v>3</v>
      </c>
      <c r="B16" s="3" t="s">
        <v>98</v>
      </c>
      <c r="C16" s="3" t="s">
        <v>99</v>
      </c>
      <c r="D16" s="3" t="s">
        <v>100</v>
      </c>
      <c r="E16" s="3" t="s">
        <v>101</v>
      </c>
      <c r="F16" s="3" t="s">
        <v>102</v>
      </c>
    </row>
  </sheetData>
  <mergeCells count="4">
    <mergeCell ref="A2:F2"/>
    <mergeCell ref="A1:F1"/>
    <mergeCell ref="A12:F12"/>
    <mergeCell ref="A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304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640625" defaultRowHeight="14.4" x14ac:dyDescent="0.3"/>
  <cols>
    <col min="1" max="1" width="12" customWidth="1"/>
    <col min="2" max="2" width="40" customWidth="1"/>
    <col min="3" max="3" width="14" customWidth="1"/>
    <col min="4" max="4" width="18" customWidth="1"/>
    <col min="5" max="5" width="30" customWidth="1"/>
    <col min="6" max="6" width="9" customWidth="1"/>
    <col min="7" max="7" width="11" customWidth="1"/>
    <col min="8" max="8" width="14" customWidth="1"/>
    <col min="9" max="9" width="30" customWidth="1"/>
    <col min="10" max="13" width="14" customWidth="1"/>
    <col min="14" max="14" width="26" customWidth="1"/>
    <col min="15" max="16" width="13" customWidth="1"/>
    <col min="17" max="17" width="11" customWidth="1"/>
    <col min="18" max="18" width="30" customWidth="1"/>
    <col min="19" max="19" width="9" customWidth="1"/>
    <col min="20" max="20" width="24" customWidth="1"/>
    <col min="21" max="21" width="12" customWidth="1"/>
    <col min="22" max="22" width="14" customWidth="1"/>
  </cols>
  <sheetData>
    <row r="1" spans="1:22" ht="24" customHeight="1" x14ac:dyDescent="0.3">
      <c r="A1" s="15" t="s">
        <v>103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2"/>
    </row>
    <row r="2" spans="1:22" ht="31.5" customHeight="1" x14ac:dyDescent="0.3">
      <c r="A2" s="13" t="s">
        <v>104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2"/>
    </row>
    <row r="4" spans="1:22" ht="30" customHeight="1" x14ac:dyDescent="0.3">
      <c r="A4" s="1" t="s">
        <v>105</v>
      </c>
      <c r="B4" s="1" t="s">
        <v>106</v>
      </c>
      <c r="C4" s="1" t="s">
        <v>107</v>
      </c>
      <c r="D4" s="1" t="s">
        <v>108</v>
      </c>
      <c r="E4" s="1" t="s">
        <v>109</v>
      </c>
      <c r="F4" s="1" t="s">
        <v>110</v>
      </c>
      <c r="G4" s="1" t="s">
        <v>111</v>
      </c>
      <c r="H4" s="1" t="s">
        <v>112</v>
      </c>
      <c r="I4" s="1" t="s">
        <v>113</v>
      </c>
      <c r="J4" s="1" t="s">
        <v>114</v>
      </c>
      <c r="K4" s="1" t="s">
        <v>115</v>
      </c>
      <c r="L4" s="1" t="s">
        <v>116</v>
      </c>
      <c r="M4" s="1" t="s">
        <v>117</v>
      </c>
      <c r="N4" s="1" t="s">
        <v>118</v>
      </c>
      <c r="O4" s="1" t="s">
        <v>119</v>
      </c>
      <c r="P4" s="1" t="s">
        <v>120</v>
      </c>
      <c r="Q4" s="1" t="s">
        <v>121</v>
      </c>
      <c r="R4" s="1" t="s">
        <v>122</v>
      </c>
      <c r="S4" s="1" t="s">
        <v>123</v>
      </c>
      <c r="T4" s="1" t="s">
        <v>124</v>
      </c>
      <c r="U4" s="1" t="s">
        <v>125</v>
      </c>
      <c r="V4" s="1" t="s">
        <v>126</v>
      </c>
    </row>
    <row r="5" spans="1:22" ht="15" customHeight="1" x14ac:dyDescent="0.3">
      <c r="A5" s="7" t="s">
        <v>127</v>
      </c>
      <c r="B5" s="7" t="s">
        <v>128</v>
      </c>
      <c r="C5" s="7" t="s">
        <v>129</v>
      </c>
      <c r="D5" s="7" t="s">
        <v>130</v>
      </c>
      <c r="E5" s="7" t="s">
        <v>131</v>
      </c>
      <c r="F5" s="7" t="s">
        <v>132</v>
      </c>
      <c r="G5" s="7" t="s">
        <v>133</v>
      </c>
      <c r="H5" s="7" t="s">
        <v>7</v>
      </c>
      <c r="I5" s="7" t="s">
        <v>134</v>
      </c>
      <c r="J5" s="7" t="s">
        <v>7</v>
      </c>
      <c r="K5" s="7" t="s">
        <v>7</v>
      </c>
      <c r="L5" s="7" t="s">
        <v>7</v>
      </c>
      <c r="M5" s="7" t="s">
        <v>7</v>
      </c>
      <c r="N5" s="7" t="s">
        <v>135</v>
      </c>
      <c r="O5" s="7" t="s">
        <v>136</v>
      </c>
      <c r="P5" s="7" t="s">
        <v>137</v>
      </c>
      <c r="Q5" s="7" t="s">
        <v>7</v>
      </c>
      <c r="R5" s="7" t="s">
        <v>138</v>
      </c>
      <c r="S5" s="7" t="s">
        <v>139</v>
      </c>
      <c r="T5" s="7" t="s">
        <v>140</v>
      </c>
      <c r="U5" s="8" t="str">
        <f t="shared" ref="U5:U68" si="0">IF(A5="","",IF(COUNTIF($B$5:$B$304,B5)&gt;1,"DUPLICATE","UNIQUE"))</f>
        <v>UNIQUE</v>
      </c>
      <c r="V5" s="8" t="str">
        <f t="shared" ref="V5:V68" si="1">IF(A5="","",IF(AND(B5&lt;&gt;"",C5&lt;&gt;"",D5&lt;&gt;"",E5&lt;&gt;"",F5&lt;&gt;"",G5&lt;&gt;"",H5&lt;&gt;"",J5&lt;&gt;"",K5&lt;&gt;"",L5&lt;&gt;"",M5&lt;&gt;"",O5&lt;&gt;"",P5&lt;&gt;"",R5&lt;&gt;""),"COMPLETE","MISSING FIELDS"))</f>
        <v>COMPLETE</v>
      </c>
    </row>
    <row r="6" spans="1:22" ht="15" customHeight="1" x14ac:dyDescent="0.3">
      <c r="A6" s="7" t="s">
        <v>141</v>
      </c>
      <c r="B6" s="7" t="s">
        <v>142</v>
      </c>
      <c r="C6" s="7" t="s">
        <v>143</v>
      </c>
      <c r="D6" s="7" t="s">
        <v>144</v>
      </c>
      <c r="E6" s="7" t="s">
        <v>145</v>
      </c>
      <c r="F6" s="7" t="s">
        <v>132</v>
      </c>
      <c r="G6" s="7" t="s">
        <v>133</v>
      </c>
      <c r="H6" s="7" t="s">
        <v>7</v>
      </c>
      <c r="I6" s="7" t="s">
        <v>146</v>
      </c>
      <c r="J6" s="7" t="s">
        <v>7</v>
      </c>
      <c r="K6" s="7" t="s">
        <v>147</v>
      </c>
      <c r="L6" s="7" t="s">
        <v>7</v>
      </c>
      <c r="M6" s="7" t="s">
        <v>7</v>
      </c>
      <c r="N6" s="7" t="s">
        <v>148</v>
      </c>
      <c r="O6" s="7" t="s">
        <v>136</v>
      </c>
      <c r="P6" s="7" t="s">
        <v>137</v>
      </c>
      <c r="Q6" s="7" t="s">
        <v>7</v>
      </c>
      <c r="R6" s="7" t="s">
        <v>149</v>
      </c>
      <c r="S6" s="7" t="s">
        <v>139</v>
      </c>
      <c r="T6" s="7" t="s">
        <v>150</v>
      </c>
      <c r="U6" s="8" t="str">
        <f t="shared" si="0"/>
        <v>UNIQUE</v>
      </c>
      <c r="V6" s="8" t="str">
        <f t="shared" si="1"/>
        <v>COMPLETE</v>
      </c>
    </row>
    <row r="7" spans="1:22" ht="15" customHeight="1" x14ac:dyDescent="0.3">
      <c r="A7" s="7" t="s">
        <v>151</v>
      </c>
      <c r="B7" s="7" t="s">
        <v>152</v>
      </c>
      <c r="C7" s="7" t="s">
        <v>129</v>
      </c>
      <c r="D7" s="7" t="s">
        <v>153</v>
      </c>
      <c r="E7" s="7" t="s">
        <v>154</v>
      </c>
      <c r="F7" s="7" t="s">
        <v>132</v>
      </c>
      <c r="G7" s="7" t="s">
        <v>133</v>
      </c>
      <c r="H7" s="7" t="s">
        <v>7</v>
      </c>
      <c r="I7" s="7" t="s">
        <v>155</v>
      </c>
      <c r="J7" s="7" t="s">
        <v>7</v>
      </c>
      <c r="K7" s="7" t="s">
        <v>147</v>
      </c>
      <c r="L7" s="7" t="s">
        <v>7</v>
      </c>
      <c r="M7" s="7" t="s">
        <v>147</v>
      </c>
      <c r="N7" s="7" t="s">
        <v>156</v>
      </c>
      <c r="O7" s="7" t="s">
        <v>136</v>
      </c>
      <c r="P7" s="7" t="s">
        <v>137</v>
      </c>
      <c r="Q7" s="7" t="s">
        <v>7</v>
      </c>
      <c r="R7" s="7" t="s">
        <v>157</v>
      </c>
      <c r="S7" s="7" t="s">
        <v>139</v>
      </c>
      <c r="T7" s="7" t="s">
        <v>158</v>
      </c>
      <c r="U7" s="8" t="str">
        <f t="shared" si="0"/>
        <v>UNIQUE</v>
      </c>
      <c r="V7" s="8" t="str">
        <f t="shared" si="1"/>
        <v>COMPLETE</v>
      </c>
    </row>
    <row r="8" spans="1:22" ht="15" customHeight="1" x14ac:dyDescent="0.3">
      <c r="A8" s="7" t="s">
        <v>159</v>
      </c>
      <c r="B8" s="7" t="s">
        <v>160</v>
      </c>
      <c r="C8" s="7" t="s">
        <v>129</v>
      </c>
      <c r="D8" s="7" t="s">
        <v>161</v>
      </c>
      <c r="E8" s="7" t="s">
        <v>162</v>
      </c>
      <c r="F8" s="7" t="s">
        <v>132</v>
      </c>
      <c r="G8" s="7" t="s">
        <v>133</v>
      </c>
      <c r="H8" s="7" t="s">
        <v>7</v>
      </c>
      <c r="I8" s="7" t="s">
        <v>163</v>
      </c>
      <c r="J8" s="7" t="s">
        <v>7</v>
      </c>
      <c r="K8" s="7" t="s">
        <v>147</v>
      </c>
      <c r="L8" s="7" t="s">
        <v>7</v>
      </c>
      <c r="M8" s="7" t="s">
        <v>147</v>
      </c>
      <c r="N8" s="7" t="s">
        <v>164</v>
      </c>
      <c r="O8" s="7" t="s">
        <v>136</v>
      </c>
      <c r="P8" s="7" t="s">
        <v>137</v>
      </c>
      <c r="Q8" s="7" t="s">
        <v>7</v>
      </c>
      <c r="R8" s="7" t="s">
        <v>165</v>
      </c>
      <c r="S8" s="7" t="s">
        <v>139</v>
      </c>
      <c r="T8" s="7" t="s">
        <v>166</v>
      </c>
      <c r="U8" s="8" t="str">
        <f t="shared" si="0"/>
        <v>UNIQUE</v>
      </c>
      <c r="V8" s="8" t="str">
        <f t="shared" si="1"/>
        <v>COMPLETE</v>
      </c>
    </row>
    <row r="9" spans="1:22" ht="15" customHeight="1" x14ac:dyDescent="0.3">
      <c r="A9" s="7" t="s">
        <v>167</v>
      </c>
      <c r="B9" s="7" t="s">
        <v>168</v>
      </c>
      <c r="C9" s="7" t="s">
        <v>129</v>
      </c>
      <c r="D9" s="7" t="s">
        <v>169</v>
      </c>
      <c r="E9" s="7" t="s">
        <v>170</v>
      </c>
      <c r="F9" s="7" t="s">
        <v>171</v>
      </c>
      <c r="G9" s="7" t="s">
        <v>172</v>
      </c>
      <c r="H9" s="7" t="s">
        <v>147</v>
      </c>
      <c r="I9" s="7" t="s">
        <v>173</v>
      </c>
      <c r="J9" s="7" t="s">
        <v>147</v>
      </c>
      <c r="K9" s="7" t="s">
        <v>147</v>
      </c>
      <c r="L9" s="7" t="s">
        <v>147</v>
      </c>
      <c r="M9" s="7" t="s">
        <v>147</v>
      </c>
      <c r="N9" s="7" t="s">
        <v>174</v>
      </c>
      <c r="O9" s="7" t="s">
        <v>136</v>
      </c>
      <c r="P9" s="7" t="s">
        <v>137</v>
      </c>
      <c r="Q9" s="7" t="s">
        <v>147</v>
      </c>
      <c r="R9" s="7" t="s">
        <v>175</v>
      </c>
      <c r="S9" s="7" t="s">
        <v>176</v>
      </c>
      <c r="T9" s="7" t="s">
        <v>177</v>
      </c>
      <c r="U9" s="8" t="str">
        <f t="shared" si="0"/>
        <v>UNIQUE</v>
      </c>
      <c r="V9" s="8" t="str">
        <f t="shared" si="1"/>
        <v>COMPLETE</v>
      </c>
    </row>
    <row r="10" spans="1:22" ht="15" customHeight="1" x14ac:dyDescent="0.3">
      <c r="A10" s="7" t="s">
        <v>178</v>
      </c>
      <c r="B10" s="7" t="s">
        <v>179</v>
      </c>
      <c r="C10" s="7" t="s">
        <v>143</v>
      </c>
      <c r="D10" s="7" t="s">
        <v>130</v>
      </c>
      <c r="E10" s="7" t="s">
        <v>180</v>
      </c>
      <c r="F10" s="7" t="s">
        <v>181</v>
      </c>
      <c r="G10" s="7" t="s">
        <v>172</v>
      </c>
      <c r="H10" s="7" t="s">
        <v>147</v>
      </c>
      <c r="I10" s="7" t="s">
        <v>182</v>
      </c>
      <c r="J10" s="7" t="s">
        <v>147</v>
      </c>
      <c r="K10" s="7" t="s">
        <v>147</v>
      </c>
      <c r="L10" s="7" t="s">
        <v>147</v>
      </c>
      <c r="M10" s="7" t="s">
        <v>147</v>
      </c>
      <c r="N10" s="7" t="s">
        <v>183</v>
      </c>
      <c r="O10" s="7" t="s">
        <v>136</v>
      </c>
      <c r="P10" s="7" t="s">
        <v>137</v>
      </c>
      <c r="Q10" s="7" t="s">
        <v>147</v>
      </c>
      <c r="R10" s="7" t="s">
        <v>184</v>
      </c>
      <c r="S10" s="7" t="s">
        <v>176</v>
      </c>
      <c r="T10" s="7" t="s">
        <v>185</v>
      </c>
      <c r="U10" s="8" t="str">
        <f t="shared" si="0"/>
        <v>UNIQUE</v>
      </c>
      <c r="V10" s="8" t="str">
        <f t="shared" si="1"/>
        <v>COMPLETE</v>
      </c>
    </row>
    <row r="11" spans="1:22" ht="15" customHeight="1" x14ac:dyDescent="0.3">
      <c r="A11" s="7" t="s">
        <v>186</v>
      </c>
      <c r="B11" s="7" t="s">
        <v>187</v>
      </c>
      <c r="C11" s="7" t="s">
        <v>129</v>
      </c>
      <c r="D11" s="7" t="s">
        <v>188</v>
      </c>
      <c r="E11" s="7" t="s">
        <v>189</v>
      </c>
      <c r="F11" s="7" t="s">
        <v>181</v>
      </c>
      <c r="G11" s="7" t="s">
        <v>172</v>
      </c>
      <c r="H11" s="7" t="s">
        <v>147</v>
      </c>
      <c r="I11" s="7" t="s">
        <v>190</v>
      </c>
      <c r="J11" s="7" t="s">
        <v>147</v>
      </c>
      <c r="K11" s="7" t="s">
        <v>147</v>
      </c>
      <c r="L11" s="7" t="s">
        <v>147</v>
      </c>
      <c r="M11" s="7" t="s">
        <v>147</v>
      </c>
      <c r="N11" s="7" t="s">
        <v>191</v>
      </c>
      <c r="O11" s="7" t="s">
        <v>136</v>
      </c>
      <c r="P11" s="7" t="s">
        <v>137</v>
      </c>
      <c r="Q11" s="7" t="s">
        <v>147</v>
      </c>
      <c r="R11" s="7" t="s">
        <v>192</v>
      </c>
      <c r="S11" s="7" t="s">
        <v>176</v>
      </c>
      <c r="T11" s="7" t="s">
        <v>193</v>
      </c>
      <c r="U11" s="8" t="str">
        <f t="shared" si="0"/>
        <v>UNIQUE</v>
      </c>
      <c r="V11" s="8" t="str">
        <f t="shared" si="1"/>
        <v>COMPLETE</v>
      </c>
    </row>
    <row r="12" spans="1:22" ht="15" customHeight="1" x14ac:dyDescent="0.3">
      <c r="A12" s="7" t="s">
        <v>194</v>
      </c>
      <c r="B12" s="7" t="s">
        <v>195</v>
      </c>
      <c r="C12" s="7" t="s">
        <v>143</v>
      </c>
      <c r="D12" s="7" t="s">
        <v>130</v>
      </c>
      <c r="E12" s="7" t="s">
        <v>196</v>
      </c>
      <c r="F12" s="7" t="s">
        <v>132</v>
      </c>
      <c r="G12" s="7" t="s">
        <v>172</v>
      </c>
      <c r="H12" s="7" t="s">
        <v>7</v>
      </c>
      <c r="I12" s="7" t="s">
        <v>197</v>
      </c>
      <c r="J12" s="7" t="s">
        <v>147</v>
      </c>
      <c r="K12" s="7" t="s">
        <v>147</v>
      </c>
      <c r="L12" s="7" t="s">
        <v>147</v>
      </c>
      <c r="M12" s="7" t="s">
        <v>147</v>
      </c>
      <c r="N12" s="7" t="s">
        <v>198</v>
      </c>
      <c r="O12" s="7" t="s">
        <v>136</v>
      </c>
      <c r="P12" s="7" t="s">
        <v>137</v>
      </c>
      <c r="Q12" s="7" t="s">
        <v>147</v>
      </c>
      <c r="R12" s="7" t="s">
        <v>199</v>
      </c>
      <c r="S12" s="7" t="s">
        <v>139</v>
      </c>
      <c r="T12" s="7" t="s">
        <v>200</v>
      </c>
      <c r="U12" s="8" t="str">
        <f t="shared" si="0"/>
        <v>UNIQUE</v>
      </c>
      <c r="V12" s="8" t="str">
        <f t="shared" si="1"/>
        <v>COMPLETE</v>
      </c>
    </row>
    <row r="13" spans="1:22" ht="15" customHeight="1" x14ac:dyDescent="0.3">
      <c r="A13" s="7" t="s">
        <v>201</v>
      </c>
      <c r="B13" s="7" t="s">
        <v>202</v>
      </c>
      <c r="C13" s="7" t="s">
        <v>129</v>
      </c>
      <c r="D13" s="7" t="s">
        <v>203</v>
      </c>
      <c r="E13" s="7" t="s">
        <v>204</v>
      </c>
      <c r="F13" s="7" t="s">
        <v>132</v>
      </c>
      <c r="G13" s="7" t="s">
        <v>172</v>
      </c>
      <c r="H13" s="7" t="s">
        <v>147</v>
      </c>
      <c r="I13" s="7" t="s">
        <v>205</v>
      </c>
      <c r="J13" s="7" t="s">
        <v>147</v>
      </c>
      <c r="K13" s="7" t="s">
        <v>147</v>
      </c>
      <c r="L13" s="7" t="s">
        <v>147</v>
      </c>
      <c r="M13" s="7" t="s">
        <v>147</v>
      </c>
      <c r="N13" s="7" t="s">
        <v>206</v>
      </c>
      <c r="O13" s="7" t="s">
        <v>136</v>
      </c>
      <c r="P13" s="7" t="s">
        <v>137</v>
      </c>
      <c r="Q13" s="7" t="s">
        <v>147</v>
      </c>
      <c r="R13" s="7" t="s">
        <v>207</v>
      </c>
      <c r="S13" s="7" t="s">
        <v>176</v>
      </c>
      <c r="T13" s="7" t="s">
        <v>208</v>
      </c>
      <c r="U13" s="8" t="str">
        <f t="shared" si="0"/>
        <v>UNIQUE</v>
      </c>
      <c r="V13" s="8" t="str">
        <f t="shared" si="1"/>
        <v>COMPLETE</v>
      </c>
    </row>
    <row r="14" spans="1:22" ht="15" customHeight="1" x14ac:dyDescent="0.3">
      <c r="A14" s="7" t="s">
        <v>209</v>
      </c>
      <c r="B14" s="7" t="s">
        <v>210</v>
      </c>
      <c r="C14" s="7" t="s">
        <v>143</v>
      </c>
      <c r="D14" s="7" t="s">
        <v>211</v>
      </c>
      <c r="E14" s="7" t="s">
        <v>212</v>
      </c>
      <c r="F14" s="7" t="s">
        <v>132</v>
      </c>
      <c r="G14" s="7" t="s">
        <v>172</v>
      </c>
      <c r="H14" s="7" t="s">
        <v>147</v>
      </c>
      <c r="I14" s="7" t="s">
        <v>213</v>
      </c>
      <c r="J14" s="7" t="s">
        <v>147</v>
      </c>
      <c r="K14" s="7" t="s">
        <v>147</v>
      </c>
      <c r="L14" s="7" t="s">
        <v>147</v>
      </c>
      <c r="M14" s="7" t="s">
        <v>147</v>
      </c>
      <c r="N14" s="7" t="s">
        <v>214</v>
      </c>
      <c r="O14" s="7" t="s">
        <v>136</v>
      </c>
      <c r="P14" s="7" t="s">
        <v>137</v>
      </c>
      <c r="Q14" s="7" t="s">
        <v>147</v>
      </c>
      <c r="R14" s="7" t="s">
        <v>215</v>
      </c>
      <c r="S14" s="7" t="s">
        <v>176</v>
      </c>
      <c r="T14" s="7" t="s">
        <v>216</v>
      </c>
      <c r="U14" s="8" t="str">
        <f t="shared" si="0"/>
        <v>UNIQUE</v>
      </c>
      <c r="V14" s="8" t="str">
        <f t="shared" si="1"/>
        <v>COMPLETE</v>
      </c>
    </row>
    <row r="15" spans="1:22" ht="15" customHeight="1" x14ac:dyDescent="0.3">
      <c r="A15" s="7" t="s">
        <v>217</v>
      </c>
      <c r="B15" s="7" t="s">
        <v>218</v>
      </c>
      <c r="C15" s="7" t="s">
        <v>129</v>
      </c>
      <c r="D15" s="7" t="s">
        <v>161</v>
      </c>
      <c r="E15" s="7" t="s">
        <v>219</v>
      </c>
      <c r="F15" s="7" t="s">
        <v>132</v>
      </c>
      <c r="G15" s="7" t="s">
        <v>172</v>
      </c>
      <c r="H15" s="7" t="s">
        <v>147</v>
      </c>
      <c r="I15" s="7" t="s">
        <v>220</v>
      </c>
      <c r="J15" s="7" t="s">
        <v>147</v>
      </c>
      <c r="K15" s="7" t="s">
        <v>147</v>
      </c>
      <c r="L15" s="7" t="s">
        <v>147</v>
      </c>
      <c r="M15" s="7" t="s">
        <v>147</v>
      </c>
      <c r="N15" s="7" t="s">
        <v>221</v>
      </c>
      <c r="O15" s="7" t="s">
        <v>136</v>
      </c>
      <c r="P15" s="7" t="s">
        <v>137</v>
      </c>
      <c r="Q15" s="7" t="s">
        <v>147</v>
      </c>
      <c r="R15" s="7" t="s">
        <v>222</v>
      </c>
      <c r="S15" s="7" t="s">
        <v>176</v>
      </c>
      <c r="T15" s="7" t="s">
        <v>223</v>
      </c>
      <c r="U15" s="8" t="str">
        <f t="shared" si="0"/>
        <v>UNIQUE</v>
      </c>
      <c r="V15" s="8" t="str">
        <f t="shared" si="1"/>
        <v>COMPLETE</v>
      </c>
    </row>
    <row r="16" spans="1:22" ht="15" customHeight="1" x14ac:dyDescent="0.3">
      <c r="A16" s="7" t="s">
        <v>224</v>
      </c>
      <c r="B16" s="7" t="s">
        <v>225</v>
      </c>
      <c r="C16" s="7" t="s">
        <v>129</v>
      </c>
      <c r="D16" s="7" t="s">
        <v>169</v>
      </c>
      <c r="E16" s="7" t="s">
        <v>226</v>
      </c>
      <c r="F16" s="7" t="s">
        <v>171</v>
      </c>
      <c r="G16" s="7" t="s">
        <v>172</v>
      </c>
      <c r="H16" s="7" t="s">
        <v>7</v>
      </c>
      <c r="I16" s="7" t="s">
        <v>227</v>
      </c>
      <c r="J16" s="7" t="s">
        <v>147</v>
      </c>
      <c r="K16" s="7" t="s">
        <v>147</v>
      </c>
      <c r="L16" s="7" t="s">
        <v>147</v>
      </c>
      <c r="M16" s="7" t="s">
        <v>147</v>
      </c>
      <c r="N16" s="7" t="s">
        <v>228</v>
      </c>
      <c r="O16" s="7" t="s">
        <v>136</v>
      </c>
      <c r="P16" s="7" t="s">
        <v>137</v>
      </c>
      <c r="Q16" s="7" t="s">
        <v>147</v>
      </c>
      <c r="R16" s="7" t="s">
        <v>229</v>
      </c>
      <c r="S16" s="7" t="s">
        <v>139</v>
      </c>
      <c r="T16" s="7" t="s">
        <v>230</v>
      </c>
      <c r="U16" s="8" t="str">
        <f t="shared" si="0"/>
        <v>UNIQUE</v>
      </c>
      <c r="V16" s="8" t="str">
        <f t="shared" si="1"/>
        <v>COMPLETE</v>
      </c>
    </row>
    <row r="17" spans="1:22" ht="15" customHeight="1" x14ac:dyDescent="0.3">
      <c r="A17" s="7" t="s">
        <v>231</v>
      </c>
      <c r="B17" s="7" t="s">
        <v>232</v>
      </c>
      <c r="C17" s="7" t="s">
        <v>129</v>
      </c>
      <c r="D17" s="7" t="s">
        <v>144</v>
      </c>
      <c r="E17" s="7" t="s">
        <v>233</v>
      </c>
      <c r="F17" s="7" t="s">
        <v>132</v>
      </c>
      <c r="G17" s="7" t="s">
        <v>172</v>
      </c>
      <c r="H17" s="7" t="s">
        <v>147</v>
      </c>
      <c r="I17" s="7" t="s">
        <v>234</v>
      </c>
      <c r="J17" s="7" t="s">
        <v>147</v>
      </c>
      <c r="K17" s="7" t="s">
        <v>147</v>
      </c>
      <c r="L17" s="7" t="s">
        <v>147</v>
      </c>
      <c r="M17" s="7" t="s">
        <v>147</v>
      </c>
      <c r="N17" s="7" t="s">
        <v>235</v>
      </c>
      <c r="O17" s="7" t="s">
        <v>136</v>
      </c>
      <c r="P17" s="7" t="s">
        <v>137</v>
      </c>
      <c r="Q17" s="7" t="s">
        <v>147</v>
      </c>
      <c r="R17" s="7" t="s">
        <v>236</v>
      </c>
      <c r="S17" s="7" t="s">
        <v>176</v>
      </c>
      <c r="T17" s="7" t="s">
        <v>237</v>
      </c>
      <c r="U17" s="8" t="str">
        <f t="shared" si="0"/>
        <v>UNIQUE</v>
      </c>
      <c r="V17" s="8" t="str">
        <f t="shared" si="1"/>
        <v>COMPLETE</v>
      </c>
    </row>
    <row r="18" spans="1:22" ht="15" customHeight="1" x14ac:dyDescent="0.3">
      <c r="A18" s="7" t="s">
        <v>238</v>
      </c>
      <c r="B18" s="7" t="s">
        <v>239</v>
      </c>
      <c r="C18" s="7" t="s">
        <v>129</v>
      </c>
      <c r="D18" s="7" t="s">
        <v>153</v>
      </c>
      <c r="E18" s="7" t="s">
        <v>240</v>
      </c>
      <c r="F18" s="7" t="s">
        <v>132</v>
      </c>
      <c r="G18" s="7" t="s">
        <v>172</v>
      </c>
      <c r="H18" s="7" t="s">
        <v>147</v>
      </c>
      <c r="I18" s="7" t="s">
        <v>241</v>
      </c>
      <c r="J18" s="7" t="s">
        <v>147</v>
      </c>
      <c r="K18" s="7" t="s">
        <v>147</v>
      </c>
      <c r="L18" s="7" t="s">
        <v>147</v>
      </c>
      <c r="M18" s="7" t="s">
        <v>147</v>
      </c>
      <c r="N18" s="7" t="s">
        <v>242</v>
      </c>
      <c r="O18" s="7" t="s">
        <v>136</v>
      </c>
      <c r="P18" s="7" t="s">
        <v>137</v>
      </c>
      <c r="Q18" s="7" t="s">
        <v>147</v>
      </c>
      <c r="R18" s="7" t="s">
        <v>243</v>
      </c>
      <c r="S18" s="7" t="s">
        <v>176</v>
      </c>
      <c r="T18" s="7" t="s">
        <v>244</v>
      </c>
      <c r="U18" s="8" t="str">
        <f t="shared" si="0"/>
        <v>UNIQUE</v>
      </c>
      <c r="V18" s="8" t="str">
        <f t="shared" si="1"/>
        <v>COMPLETE</v>
      </c>
    </row>
    <row r="19" spans="1:22" ht="15" customHeight="1" x14ac:dyDescent="0.3">
      <c r="A19" s="7" t="s">
        <v>245</v>
      </c>
      <c r="B19" s="7" t="s">
        <v>246</v>
      </c>
      <c r="C19" s="7" t="s">
        <v>143</v>
      </c>
      <c r="D19" s="7" t="s">
        <v>130</v>
      </c>
      <c r="E19" s="7" t="s">
        <v>247</v>
      </c>
      <c r="F19" s="7" t="s">
        <v>181</v>
      </c>
      <c r="G19" s="7" t="s">
        <v>172</v>
      </c>
      <c r="H19" s="7" t="s">
        <v>147</v>
      </c>
      <c r="I19" s="7" t="s">
        <v>134</v>
      </c>
      <c r="J19" s="7" t="s">
        <v>147</v>
      </c>
      <c r="K19" s="7" t="s">
        <v>147</v>
      </c>
      <c r="L19" s="7" t="s">
        <v>147</v>
      </c>
      <c r="M19" s="7" t="s">
        <v>147</v>
      </c>
      <c r="N19" s="7" t="s">
        <v>135</v>
      </c>
      <c r="O19" s="7" t="s">
        <v>136</v>
      </c>
      <c r="P19" s="7" t="s">
        <v>137</v>
      </c>
      <c r="Q19" s="7" t="s">
        <v>147</v>
      </c>
      <c r="R19" s="7" t="s">
        <v>248</v>
      </c>
      <c r="S19" s="7" t="s">
        <v>176</v>
      </c>
      <c r="T19" s="7" t="s">
        <v>140</v>
      </c>
      <c r="U19" s="8" t="str">
        <f t="shared" si="0"/>
        <v>UNIQUE</v>
      </c>
      <c r="V19" s="8" t="str">
        <f t="shared" si="1"/>
        <v>COMPLETE</v>
      </c>
    </row>
    <row r="20" spans="1:22" ht="15" customHeight="1" x14ac:dyDescent="0.3">
      <c r="A20" s="7" t="s">
        <v>249</v>
      </c>
      <c r="B20" s="7" t="s">
        <v>250</v>
      </c>
      <c r="C20" s="7" t="s">
        <v>129</v>
      </c>
      <c r="D20" s="7" t="s">
        <v>161</v>
      </c>
      <c r="E20" s="7" t="s">
        <v>251</v>
      </c>
      <c r="F20" s="7" t="s">
        <v>132</v>
      </c>
      <c r="G20" s="7" t="s">
        <v>133</v>
      </c>
      <c r="H20" s="7" t="s">
        <v>7</v>
      </c>
      <c r="I20" s="7" t="s">
        <v>146</v>
      </c>
      <c r="J20" s="7" t="s">
        <v>7</v>
      </c>
      <c r="K20" s="7" t="s">
        <v>147</v>
      </c>
      <c r="L20" s="7" t="s">
        <v>7</v>
      </c>
      <c r="M20" s="7" t="s">
        <v>147</v>
      </c>
      <c r="N20" s="7" t="s">
        <v>148</v>
      </c>
      <c r="O20" s="7" t="s">
        <v>136</v>
      </c>
      <c r="P20" s="7" t="s">
        <v>137</v>
      </c>
      <c r="Q20" s="7" t="s">
        <v>7</v>
      </c>
      <c r="R20" s="7" t="s">
        <v>252</v>
      </c>
      <c r="S20" s="7" t="s">
        <v>139</v>
      </c>
      <c r="T20" s="7" t="s">
        <v>150</v>
      </c>
      <c r="U20" s="8" t="str">
        <f t="shared" si="0"/>
        <v>UNIQUE</v>
      </c>
      <c r="V20" s="8" t="str">
        <f t="shared" si="1"/>
        <v>COMPLETE</v>
      </c>
    </row>
    <row r="21" spans="1:22" ht="15" customHeight="1" x14ac:dyDescent="0.3">
      <c r="A21" s="7" t="s">
        <v>253</v>
      </c>
      <c r="B21" s="7" t="s">
        <v>254</v>
      </c>
      <c r="C21" s="7" t="s">
        <v>129</v>
      </c>
      <c r="D21" s="7" t="s">
        <v>161</v>
      </c>
      <c r="E21" s="7" t="s">
        <v>255</v>
      </c>
      <c r="F21" s="7" t="s">
        <v>132</v>
      </c>
      <c r="G21" s="7" t="s">
        <v>172</v>
      </c>
      <c r="H21" s="7" t="s">
        <v>147</v>
      </c>
      <c r="I21" s="7" t="s">
        <v>155</v>
      </c>
      <c r="J21" s="7" t="s">
        <v>147</v>
      </c>
      <c r="K21" s="7" t="s">
        <v>147</v>
      </c>
      <c r="L21" s="7" t="s">
        <v>147</v>
      </c>
      <c r="M21" s="7" t="s">
        <v>147</v>
      </c>
      <c r="N21" s="7" t="s">
        <v>156</v>
      </c>
      <c r="O21" s="7" t="s">
        <v>136</v>
      </c>
      <c r="P21" s="7" t="s">
        <v>137</v>
      </c>
      <c r="Q21" s="7" t="s">
        <v>147</v>
      </c>
      <c r="R21" s="7" t="s">
        <v>256</v>
      </c>
      <c r="S21" s="7" t="s">
        <v>176</v>
      </c>
      <c r="T21" s="7" t="s">
        <v>158</v>
      </c>
      <c r="U21" s="8" t="str">
        <f t="shared" si="0"/>
        <v>UNIQUE</v>
      </c>
      <c r="V21" s="8" t="str">
        <f t="shared" si="1"/>
        <v>COMPLETE</v>
      </c>
    </row>
    <row r="22" spans="1:22" ht="15" customHeight="1" x14ac:dyDescent="0.3">
      <c r="A22" s="7" t="s">
        <v>257</v>
      </c>
      <c r="B22" s="7" t="s">
        <v>258</v>
      </c>
      <c r="C22" s="7" t="s">
        <v>129</v>
      </c>
      <c r="D22" s="7" t="s">
        <v>259</v>
      </c>
      <c r="E22" s="7" t="s">
        <v>260</v>
      </c>
      <c r="F22" s="7" t="s">
        <v>171</v>
      </c>
      <c r="G22" s="7" t="s">
        <v>172</v>
      </c>
      <c r="H22" s="7" t="s">
        <v>147</v>
      </c>
      <c r="I22" s="7" t="s">
        <v>163</v>
      </c>
      <c r="J22" s="7" t="s">
        <v>147</v>
      </c>
      <c r="K22" s="7" t="s">
        <v>147</v>
      </c>
      <c r="L22" s="7" t="s">
        <v>147</v>
      </c>
      <c r="M22" s="7" t="s">
        <v>147</v>
      </c>
      <c r="N22" s="7" t="s">
        <v>164</v>
      </c>
      <c r="O22" s="7" t="s">
        <v>136</v>
      </c>
      <c r="P22" s="7" t="s">
        <v>137</v>
      </c>
      <c r="Q22" s="7" t="s">
        <v>147</v>
      </c>
      <c r="R22" s="7" t="s">
        <v>261</v>
      </c>
      <c r="S22" s="7" t="s">
        <v>176</v>
      </c>
      <c r="T22" s="7" t="s">
        <v>166</v>
      </c>
      <c r="U22" s="8" t="str">
        <f t="shared" si="0"/>
        <v>UNIQUE</v>
      </c>
      <c r="V22" s="8" t="str">
        <f t="shared" si="1"/>
        <v>COMPLETE</v>
      </c>
    </row>
    <row r="23" spans="1:22" ht="15" customHeight="1" x14ac:dyDescent="0.3">
      <c r="A23" s="7" t="s">
        <v>262</v>
      </c>
      <c r="B23" s="7" t="s">
        <v>263</v>
      </c>
      <c r="C23" s="7" t="s">
        <v>143</v>
      </c>
      <c r="D23" s="7" t="s">
        <v>130</v>
      </c>
      <c r="E23" s="7" t="s">
        <v>264</v>
      </c>
      <c r="F23" s="7" t="s">
        <v>181</v>
      </c>
      <c r="G23" s="7" t="s">
        <v>172</v>
      </c>
      <c r="H23" s="7" t="s">
        <v>147</v>
      </c>
      <c r="I23" s="7" t="s">
        <v>173</v>
      </c>
      <c r="J23" s="7" t="s">
        <v>147</v>
      </c>
      <c r="K23" s="7" t="s">
        <v>147</v>
      </c>
      <c r="L23" s="7" t="s">
        <v>147</v>
      </c>
      <c r="M23" s="7" t="s">
        <v>147</v>
      </c>
      <c r="N23" s="7" t="s">
        <v>174</v>
      </c>
      <c r="O23" s="7" t="s">
        <v>136</v>
      </c>
      <c r="P23" s="7" t="s">
        <v>137</v>
      </c>
      <c r="Q23" s="7" t="s">
        <v>147</v>
      </c>
      <c r="R23" s="7" t="s">
        <v>265</v>
      </c>
      <c r="S23" s="7" t="s">
        <v>176</v>
      </c>
      <c r="T23" s="7" t="s">
        <v>177</v>
      </c>
      <c r="U23" s="8" t="str">
        <f t="shared" si="0"/>
        <v>UNIQUE</v>
      </c>
      <c r="V23" s="8" t="str">
        <f t="shared" si="1"/>
        <v>COMPLETE</v>
      </c>
    </row>
    <row r="24" spans="1:22" ht="15" customHeight="1" x14ac:dyDescent="0.3">
      <c r="A24" s="7" t="s">
        <v>266</v>
      </c>
      <c r="B24" s="7" t="s">
        <v>267</v>
      </c>
      <c r="C24" s="7" t="s">
        <v>129</v>
      </c>
      <c r="D24" s="7" t="s">
        <v>161</v>
      </c>
      <c r="E24" s="7" t="s">
        <v>268</v>
      </c>
      <c r="F24" s="7" t="s">
        <v>132</v>
      </c>
      <c r="G24" s="7" t="s">
        <v>172</v>
      </c>
      <c r="H24" s="7" t="s">
        <v>7</v>
      </c>
      <c r="I24" s="7" t="s">
        <v>182</v>
      </c>
      <c r="J24" s="7" t="s">
        <v>147</v>
      </c>
      <c r="K24" s="7" t="s">
        <v>147</v>
      </c>
      <c r="L24" s="7" t="s">
        <v>147</v>
      </c>
      <c r="M24" s="7" t="s">
        <v>147</v>
      </c>
      <c r="N24" s="7" t="s">
        <v>183</v>
      </c>
      <c r="O24" s="7" t="s">
        <v>136</v>
      </c>
      <c r="P24" s="7" t="s">
        <v>137</v>
      </c>
      <c r="Q24" s="7" t="s">
        <v>147</v>
      </c>
      <c r="R24" s="7" t="s">
        <v>269</v>
      </c>
      <c r="S24" s="7" t="s">
        <v>139</v>
      </c>
      <c r="T24" s="7" t="s">
        <v>185</v>
      </c>
      <c r="U24" s="8" t="str">
        <f t="shared" si="0"/>
        <v>UNIQUE</v>
      </c>
      <c r="V24" s="8" t="str">
        <f t="shared" si="1"/>
        <v>COMPLETE</v>
      </c>
    </row>
    <row r="25" spans="1:22" ht="15" customHeight="1" x14ac:dyDescent="0.3">
      <c r="A25" s="7" t="s">
        <v>270</v>
      </c>
      <c r="B25" s="7" t="s">
        <v>271</v>
      </c>
      <c r="C25" s="7" t="s">
        <v>129</v>
      </c>
      <c r="D25" s="7" t="s">
        <v>130</v>
      </c>
      <c r="E25" s="7" t="s">
        <v>272</v>
      </c>
      <c r="F25" s="7" t="s">
        <v>132</v>
      </c>
      <c r="G25" s="7" t="s">
        <v>133</v>
      </c>
      <c r="H25" s="7" t="s">
        <v>7</v>
      </c>
      <c r="I25" s="7" t="s">
        <v>190</v>
      </c>
      <c r="J25" s="7" t="s">
        <v>7</v>
      </c>
      <c r="K25" s="7" t="s">
        <v>147</v>
      </c>
      <c r="L25" s="7" t="s">
        <v>7</v>
      </c>
      <c r="M25" s="7" t="s">
        <v>147</v>
      </c>
      <c r="N25" s="7" t="s">
        <v>191</v>
      </c>
      <c r="O25" s="7" t="s">
        <v>136</v>
      </c>
      <c r="P25" s="7" t="s">
        <v>137</v>
      </c>
      <c r="Q25" s="7" t="s">
        <v>7</v>
      </c>
      <c r="R25" s="7" t="s">
        <v>273</v>
      </c>
      <c r="S25" s="7" t="s">
        <v>139</v>
      </c>
      <c r="T25" s="7" t="s">
        <v>193</v>
      </c>
      <c r="U25" s="8" t="str">
        <f t="shared" si="0"/>
        <v>UNIQUE</v>
      </c>
      <c r="V25" s="8" t="str">
        <f t="shared" si="1"/>
        <v>COMPLETE</v>
      </c>
    </row>
    <row r="26" spans="1:22" ht="15" customHeight="1" x14ac:dyDescent="0.3">
      <c r="A26" s="7" t="s">
        <v>274</v>
      </c>
      <c r="B26" s="7" t="s">
        <v>275</v>
      </c>
      <c r="C26" s="7" t="s">
        <v>143</v>
      </c>
      <c r="D26" s="7" t="s">
        <v>276</v>
      </c>
      <c r="E26" s="7" t="s">
        <v>277</v>
      </c>
      <c r="F26" s="7" t="s">
        <v>132</v>
      </c>
      <c r="G26" s="7" t="s">
        <v>172</v>
      </c>
      <c r="H26" s="7" t="s">
        <v>147</v>
      </c>
      <c r="I26" s="7" t="s">
        <v>197</v>
      </c>
      <c r="J26" s="7" t="s">
        <v>147</v>
      </c>
      <c r="K26" s="7" t="s">
        <v>147</v>
      </c>
      <c r="L26" s="7" t="s">
        <v>147</v>
      </c>
      <c r="M26" s="7" t="s">
        <v>147</v>
      </c>
      <c r="N26" s="7" t="s">
        <v>198</v>
      </c>
      <c r="O26" s="7" t="s">
        <v>136</v>
      </c>
      <c r="P26" s="7" t="s">
        <v>137</v>
      </c>
      <c r="Q26" s="7" t="s">
        <v>147</v>
      </c>
      <c r="R26" s="7" t="s">
        <v>278</v>
      </c>
      <c r="S26" s="7" t="s">
        <v>176</v>
      </c>
      <c r="T26" s="7" t="s">
        <v>200</v>
      </c>
      <c r="U26" s="8" t="str">
        <f t="shared" si="0"/>
        <v>UNIQUE</v>
      </c>
      <c r="V26" s="8" t="str">
        <f t="shared" si="1"/>
        <v>COMPLETE</v>
      </c>
    </row>
    <row r="27" spans="1:22" ht="15" customHeight="1" x14ac:dyDescent="0.3">
      <c r="A27" s="7" t="s">
        <v>279</v>
      </c>
      <c r="B27" s="7" t="s">
        <v>280</v>
      </c>
      <c r="C27" s="7" t="s">
        <v>129</v>
      </c>
      <c r="D27" s="7" t="s">
        <v>161</v>
      </c>
      <c r="E27" s="7" t="s">
        <v>281</v>
      </c>
      <c r="F27" s="7" t="s">
        <v>132</v>
      </c>
      <c r="G27" s="7" t="s">
        <v>172</v>
      </c>
      <c r="H27" s="7" t="s">
        <v>147</v>
      </c>
      <c r="I27" s="7" t="s">
        <v>205</v>
      </c>
      <c r="J27" s="7" t="s">
        <v>147</v>
      </c>
      <c r="K27" s="7" t="s">
        <v>147</v>
      </c>
      <c r="L27" s="7" t="s">
        <v>147</v>
      </c>
      <c r="M27" s="7" t="s">
        <v>147</v>
      </c>
      <c r="N27" s="7" t="s">
        <v>206</v>
      </c>
      <c r="O27" s="7" t="s">
        <v>136</v>
      </c>
      <c r="P27" s="7" t="s">
        <v>137</v>
      </c>
      <c r="Q27" s="7" t="s">
        <v>147</v>
      </c>
      <c r="R27" s="7" t="s">
        <v>282</v>
      </c>
      <c r="S27" s="7" t="s">
        <v>176</v>
      </c>
      <c r="T27" s="7" t="s">
        <v>208</v>
      </c>
      <c r="U27" s="8" t="str">
        <f t="shared" si="0"/>
        <v>UNIQUE</v>
      </c>
      <c r="V27" s="8" t="str">
        <f t="shared" si="1"/>
        <v>COMPLETE</v>
      </c>
    </row>
    <row r="28" spans="1:22" ht="15" customHeight="1" x14ac:dyDescent="0.3">
      <c r="A28" s="7" t="s">
        <v>283</v>
      </c>
      <c r="B28" s="7" t="s">
        <v>284</v>
      </c>
      <c r="C28" s="7" t="s">
        <v>129</v>
      </c>
      <c r="D28" s="7" t="s">
        <v>169</v>
      </c>
      <c r="E28" s="7" t="s">
        <v>285</v>
      </c>
      <c r="F28" s="7" t="s">
        <v>171</v>
      </c>
      <c r="G28" s="7" t="s">
        <v>172</v>
      </c>
      <c r="H28" s="7" t="s">
        <v>7</v>
      </c>
      <c r="I28" s="7" t="s">
        <v>213</v>
      </c>
      <c r="J28" s="7" t="s">
        <v>147</v>
      </c>
      <c r="K28" s="7" t="s">
        <v>147</v>
      </c>
      <c r="L28" s="7" t="s">
        <v>147</v>
      </c>
      <c r="M28" s="7" t="s">
        <v>147</v>
      </c>
      <c r="N28" s="7" t="s">
        <v>214</v>
      </c>
      <c r="O28" s="7" t="s">
        <v>136</v>
      </c>
      <c r="P28" s="7" t="s">
        <v>137</v>
      </c>
      <c r="Q28" s="7" t="s">
        <v>147</v>
      </c>
      <c r="R28" s="7" t="s">
        <v>286</v>
      </c>
      <c r="S28" s="7" t="s">
        <v>139</v>
      </c>
      <c r="T28" s="7" t="s">
        <v>216</v>
      </c>
      <c r="U28" s="8" t="str">
        <f t="shared" si="0"/>
        <v>UNIQUE</v>
      </c>
      <c r="V28" s="8" t="str">
        <f t="shared" si="1"/>
        <v>COMPLETE</v>
      </c>
    </row>
    <row r="29" spans="1:22" ht="15" customHeight="1" x14ac:dyDescent="0.3">
      <c r="A29" s="7" t="s">
        <v>287</v>
      </c>
      <c r="B29" s="7" t="s">
        <v>288</v>
      </c>
      <c r="C29" s="7" t="s">
        <v>143</v>
      </c>
      <c r="D29" s="7" t="s">
        <v>153</v>
      </c>
      <c r="E29" s="7" t="s">
        <v>289</v>
      </c>
      <c r="F29" s="7" t="s">
        <v>132</v>
      </c>
      <c r="G29" s="7" t="s">
        <v>172</v>
      </c>
      <c r="H29" s="7" t="s">
        <v>147</v>
      </c>
      <c r="I29" s="7" t="s">
        <v>220</v>
      </c>
      <c r="J29" s="7" t="s">
        <v>147</v>
      </c>
      <c r="K29" s="7" t="s">
        <v>147</v>
      </c>
      <c r="L29" s="7" t="s">
        <v>147</v>
      </c>
      <c r="M29" s="7" t="s">
        <v>147</v>
      </c>
      <c r="N29" s="7" t="s">
        <v>221</v>
      </c>
      <c r="O29" s="7" t="s">
        <v>136</v>
      </c>
      <c r="P29" s="7" t="s">
        <v>137</v>
      </c>
      <c r="Q29" s="7" t="s">
        <v>147</v>
      </c>
      <c r="R29" s="7" t="s">
        <v>290</v>
      </c>
      <c r="S29" s="7" t="s">
        <v>176</v>
      </c>
      <c r="T29" s="7" t="s">
        <v>223</v>
      </c>
      <c r="U29" s="8" t="str">
        <f t="shared" si="0"/>
        <v>UNIQUE</v>
      </c>
      <c r="V29" s="8" t="str">
        <f t="shared" si="1"/>
        <v>COMPLETE</v>
      </c>
    </row>
    <row r="30" spans="1:22" ht="15" customHeight="1" x14ac:dyDescent="0.3">
      <c r="A30" s="7" t="s">
        <v>291</v>
      </c>
      <c r="B30" s="7" t="s">
        <v>292</v>
      </c>
      <c r="C30" s="7" t="s">
        <v>129</v>
      </c>
      <c r="D30" s="7" t="s">
        <v>130</v>
      </c>
      <c r="E30" s="7" t="s">
        <v>293</v>
      </c>
      <c r="F30" s="7" t="s">
        <v>132</v>
      </c>
      <c r="G30" s="7" t="s">
        <v>172</v>
      </c>
      <c r="H30" s="7" t="s">
        <v>147</v>
      </c>
      <c r="I30" s="7" t="s">
        <v>227</v>
      </c>
      <c r="J30" s="7" t="s">
        <v>147</v>
      </c>
      <c r="K30" s="7" t="s">
        <v>147</v>
      </c>
      <c r="L30" s="7" t="s">
        <v>147</v>
      </c>
      <c r="M30" s="7" t="s">
        <v>147</v>
      </c>
      <c r="N30" s="7" t="s">
        <v>228</v>
      </c>
      <c r="O30" s="7" t="s">
        <v>136</v>
      </c>
      <c r="P30" s="7" t="s">
        <v>137</v>
      </c>
      <c r="Q30" s="7" t="s">
        <v>147</v>
      </c>
      <c r="R30" s="7" t="s">
        <v>294</v>
      </c>
      <c r="S30" s="7" t="s">
        <v>176</v>
      </c>
      <c r="T30" s="7" t="s">
        <v>230</v>
      </c>
      <c r="U30" s="8" t="str">
        <f t="shared" si="0"/>
        <v>UNIQUE</v>
      </c>
      <c r="V30" s="8" t="str">
        <f t="shared" si="1"/>
        <v>COMPLETE</v>
      </c>
    </row>
    <row r="31" spans="1:22" ht="15" customHeight="1" x14ac:dyDescent="0.3">
      <c r="A31" s="7" t="s">
        <v>295</v>
      </c>
      <c r="B31" s="7" t="s">
        <v>296</v>
      </c>
      <c r="C31" s="7" t="s">
        <v>129</v>
      </c>
      <c r="D31" s="7" t="s">
        <v>297</v>
      </c>
      <c r="E31" s="7" t="s">
        <v>298</v>
      </c>
      <c r="F31" s="7" t="s">
        <v>132</v>
      </c>
      <c r="G31" s="7" t="s">
        <v>172</v>
      </c>
      <c r="H31" s="7" t="s">
        <v>147</v>
      </c>
      <c r="I31" s="7" t="s">
        <v>234</v>
      </c>
      <c r="J31" s="7" t="s">
        <v>147</v>
      </c>
      <c r="K31" s="7" t="s">
        <v>147</v>
      </c>
      <c r="L31" s="7" t="s">
        <v>147</v>
      </c>
      <c r="M31" s="7" t="s">
        <v>147</v>
      </c>
      <c r="N31" s="7" t="s">
        <v>235</v>
      </c>
      <c r="O31" s="7" t="s">
        <v>136</v>
      </c>
      <c r="P31" s="7" t="s">
        <v>137</v>
      </c>
      <c r="Q31" s="7" t="s">
        <v>147</v>
      </c>
      <c r="R31" s="7" t="s">
        <v>299</v>
      </c>
      <c r="S31" s="7" t="s">
        <v>176</v>
      </c>
      <c r="T31" s="7" t="s">
        <v>237</v>
      </c>
      <c r="U31" s="8" t="str">
        <f t="shared" si="0"/>
        <v>UNIQUE</v>
      </c>
      <c r="V31" s="8" t="str">
        <f t="shared" si="1"/>
        <v>COMPLETE</v>
      </c>
    </row>
    <row r="32" spans="1:22" ht="15" customHeight="1" x14ac:dyDescent="0.3">
      <c r="A32" s="7" t="s">
        <v>300</v>
      </c>
      <c r="B32" s="7" t="s">
        <v>301</v>
      </c>
      <c r="C32" s="7" t="s">
        <v>129</v>
      </c>
      <c r="D32" s="7" t="s">
        <v>161</v>
      </c>
      <c r="E32" s="7" t="s">
        <v>302</v>
      </c>
      <c r="F32" s="7" t="s">
        <v>171</v>
      </c>
      <c r="G32" s="7" t="s">
        <v>172</v>
      </c>
      <c r="H32" s="7" t="s">
        <v>7</v>
      </c>
      <c r="I32" s="7" t="s">
        <v>241</v>
      </c>
      <c r="J32" s="7" t="s">
        <v>147</v>
      </c>
      <c r="K32" s="7" t="s">
        <v>147</v>
      </c>
      <c r="L32" s="7" t="s">
        <v>147</v>
      </c>
      <c r="M32" s="7" t="s">
        <v>147</v>
      </c>
      <c r="N32" s="7" t="s">
        <v>242</v>
      </c>
      <c r="O32" s="7" t="s">
        <v>136</v>
      </c>
      <c r="P32" s="7" t="s">
        <v>137</v>
      </c>
      <c r="Q32" s="7" t="s">
        <v>147</v>
      </c>
      <c r="R32" s="7" t="s">
        <v>303</v>
      </c>
      <c r="S32" s="7" t="s">
        <v>139</v>
      </c>
      <c r="T32" s="7" t="s">
        <v>244</v>
      </c>
      <c r="U32" s="8" t="str">
        <f t="shared" si="0"/>
        <v>UNIQUE</v>
      </c>
      <c r="V32" s="8" t="str">
        <f t="shared" si="1"/>
        <v>COMPLETE</v>
      </c>
    </row>
    <row r="33" spans="1:22" ht="15" customHeight="1" x14ac:dyDescent="0.3">
      <c r="A33" s="7" t="s">
        <v>304</v>
      </c>
      <c r="B33" s="7" t="s">
        <v>305</v>
      </c>
      <c r="C33" s="7" t="s">
        <v>143</v>
      </c>
      <c r="D33" s="7" t="s">
        <v>130</v>
      </c>
      <c r="E33" s="7" t="s">
        <v>306</v>
      </c>
      <c r="F33" s="7" t="s">
        <v>181</v>
      </c>
      <c r="G33" s="7" t="s">
        <v>172</v>
      </c>
      <c r="H33" s="7" t="s">
        <v>147</v>
      </c>
      <c r="I33" s="7" t="s">
        <v>134</v>
      </c>
      <c r="J33" s="7" t="s">
        <v>147</v>
      </c>
      <c r="K33" s="7" t="s">
        <v>147</v>
      </c>
      <c r="L33" s="7" t="s">
        <v>147</v>
      </c>
      <c r="M33" s="7" t="s">
        <v>147</v>
      </c>
      <c r="N33" s="7" t="s">
        <v>135</v>
      </c>
      <c r="O33" s="7" t="s">
        <v>136</v>
      </c>
      <c r="P33" s="7" t="s">
        <v>137</v>
      </c>
      <c r="Q33" s="7" t="s">
        <v>147</v>
      </c>
      <c r="R33" s="7" t="s">
        <v>307</v>
      </c>
      <c r="S33" s="7" t="s">
        <v>176</v>
      </c>
      <c r="T33" s="7" t="s">
        <v>140</v>
      </c>
      <c r="U33" s="8" t="str">
        <f t="shared" si="0"/>
        <v>UNIQUE</v>
      </c>
      <c r="V33" s="8" t="str">
        <f t="shared" si="1"/>
        <v>COMPLETE</v>
      </c>
    </row>
    <row r="34" spans="1:22" ht="15" customHeight="1" x14ac:dyDescent="0.3">
      <c r="A34" s="7" t="s">
        <v>308</v>
      </c>
      <c r="B34" s="7" t="s">
        <v>309</v>
      </c>
      <c r="C34" s="7" t="s">
        <v>129</v>
      </c>
      <c r="D34" s="7" t="s">
        <v>130</v>
      </c>
      <c r="E34" s="7" t="s">
        <v>310</v>
      </c>
      <c r="F34" s="7" t="s">
        <v>132</v>
      </c>
      <c r="G34" s="7" t="s">
        <v>172</v>
      </c>
      <c r="H34" s="7" t="s">
        <v>147</v>
      </c>
      <c r="I34" s="7" t="s">
        <v>146</v>
      </c>
      <c r="J34" s="7" t="s">
        <v>147</v>
      </c>
      <c r="K34" s="7" t="s">
        <v>147</v>
      </c>
      <c r="L34" s="7" t="s">
        <v>147</v>
      </c>
      <c r="M34" s="7" t="s">
        <v>147</v>
      </c>
      <c r="N34" s="7" t="s">
        <v>148</v>
      </c>
      <c r="O34" s="7" t="s">
        <v>136</v>
      </c>
      <c r="P34" s="7" t="s">
        <v>137</v>
      </c>
      <c r="Q34" s="7" t="s">
        <v>147</v>
      </c>
      <c r="R34" s="7" t="s">
        <v>311</v>
      </c>
      <c r="S34" s="7" t="s">
        <v>176</v>
      </c>
      <c r="T34" s="7" t="s">
        <v>150</v>
      </c>
      <c r="U34" s="8" t="str">
        <f t="shared" si="0"/>
        <v>UNIQUE</v>
      </c>
      <c r="V34" s="8" t="str">
        <f t="shared" si="1"/>
        <v>COMPLETE</v>
      </c>
    </row>
    <row r="35" spans="1:22" ht="15" customHeight="1" x14ac:dyDescent="0.3">
      <c r="A35" s="7" t="s">
        <v>312</v>
      </c>
      <c r="B35" s="7" t="s">
        <v>313</v>
      </c>
      <c r="C35" s="7" t="s">
        <v>143</v>
      </c>
      <c r="D35" s="7" t="s">
        <v>153</v>
      </c>
      <c r="E35" s="7" t="s">
        <v>314</v>
      </c>
      <c r="F35" s="7" t="s">
        <v>181</v>
      </c>
      <c r="G35" s="7" t="s">
        <v>172</v>
      </c>
      <c r="H35" s="7" t="s">
        <v>147</v>
      </c>
      <c r="I35" s="7" t="s">
        <v>155</v>
      </c>
      <c r="J35" s="7" t="s">
        <v>147</v>
      </c>
      <c r="K35" s="7" t="s">
        <v>147</v>
      </c>
      <c r="L35" s="7" t="s">
        <v>147</v>
      </c>
      <c r="M35" s="7" t="s">
        <v>147</v>
      </c>
      <c r="N35" s="7" t="s">
        <v>156</v>
      </c>
      <c r="O35" s="7" t="s">
        <v>136</v>
      </c>
      <c r="P35" s="7" t="s">
        <v>137</v>
      </c>
      <c r="Q35" s="7" t="s">
        <v>147</v>
      </c>
      <c r="R35" s="7" t="s">
        <v>315</v>
      </c>
      <c r="S35" s="7" t="s">
        <v>176</v>
      </c>
      <c r="T35" s="7" t="s">
        <v>158</v>
      </c>
      <c r="U35" s="8" t="str">
        <f t="shared" si="0"/>
        <v>UNIQUE</v>
      </c>
      <c r="V35" s="8" t="str">
        <f t="shared" si="1"/>
        <v>COMPLETE</v>
      </c>
    </row>
    <row r="36" spans="1:22" ht="15" customHeight="1" x14ac:dyDescent="0.3">
      <c r="A36" s="7" t="s">
        <v>316</v>
      </c>
      <c r="B36" s="7" t="s">
        <v>317</v>
      </c>
      <c r="C36" s="7" t="s">
        <v>129</v>
      </c>
      <c r="D36" s="7" t="s">
        <v>169</v>
      </c>
      <c r="E36" s="7" t="s">
        <v>318</v>
      </c>
      <c r="F36" s="7" t="s">
        <v>132</v>
      </c>
      <c r="G36" s="7" t="s">
        <v>172</v>
      </c>
      <c r="H36" s="7" t="s">
        <v>7</v>
      </c>
      <c r="I36" s="7" t="s">
        <v>163</v>
      </c>
      <c r="J36" s="7" t="s">
        <v>147</v>
      </c>
      <c r="K36" s="7" t="s">
        <v>147</v>
      </c>
      <c r="L36" s="7" t="s">
        <v>147</v>
      </c>
      <c r="M36" s="7" t="s">
        <v>147</v>
      </c>
      <c r="N36" s="7" t="s">
        <v>164</v>
      </c>
      <c r="O36" s="7" t="s">
        <v>136</v>
      </c>
      <c r="P36" s="7" t="s">
        <v>137</v>
      </c>
      <c r="Q36" s="7" t="s">
        <v>147</v>
      </c>
      <c r="R36" s="7" t="s">
        <v>319</v>
      </c>
      <c r="S36" s="7" t="s">
        <v>139</v>
      </c>
      <c r="T36" s="7" t="s">
        <v>166</v>
      </c>
      <c r="U36" s="8" t="str">
        <f t="shared" si="0"/>
        <v>UNIQUE</v>
      </c>
      <c r="V36" s="8" t="str">
        <f t="shared" si="1"/>
        <v>COMPLETE</v>
      </c>
    </row>
    <row r="37" spans="1:22" ht="15" customHeight="1" x14ac:dyDescent="0.3">
      <c r="A37" s="7" t="s">
        <v>320</v>
      </c>
      <c r="B37" s="7" t="s">
        <v>321</v>
      </c>
      <c r="C37" s="7" t="s">
        <v>129</v>
      </c>
      <c r="D37" s="7" t="s">
        <v>322</v>
      </c>
      <c r="E37" s="7" t="s">
        <v>323</v>
      </c>
      <c r="F37" s="7" t="s">
        <v>132</v>
      </c>
      <c r="G37" s="7" t="s">
        <v>172</v>
      </c>
      <c r="H37" s="7" t="s">
        <v>147</v>
      </c>
      <c r="I37" s="7" t="s">
        <v>173</v>
      </c>
      <c r="J37" s="7" t="s">
        <v>147</v>
      </c>
      <c r="K37" s="7" t="s">
        <v>147</v>
      </c>
      <c r="L37" s="7" t="s">
        <v>147</v>
      </c>
      <c r="M37" s="7" t="s">
        <v>147</v>
      </c>
      <c r="N37" s="7" t="s">
        <v>174</v>
      </c>
      <c r="O37" s="7" t="s">
        <v>136</v>
      </c>
      <c r="P37" s="7" t="s">
        <v>137</v>
      </c>
      <c r="Q37" s="7" t="s">
        <v>147</v>
      </c>
      <c r="R37" s="7" t="s">
        <v>324</v>
      </c>
      <c r="S37" s="7" t="s">
        <v>176</v>
      </c>
      <c r="T37" s="7" t="s">
        <v>177</v>
      </c>
      <c r="U37" s="8" t="str">
        <f t="shared" si="0"/>
        <v>UNIQUE</v>
      </c>
      <c r="V37" s="8" t="str">
        <f t="shared" si="1"/>
        <v>COMPLETE</v>
      </c>
    </row>
    <row r="38" spans="1:22" ht="15" customHeight="1" x14ac:dyDescent="0.3">
      <c r="A38" s="7" t="s">
        <v>325</v>
      </c>
      <c r="B38" s="7" t="s">
        <v>326</v>
      </c>
      <c r="C38" s="7" t="s">
        <v>129</v>
      </c>
      <c r="D38" s="7" t="s">
        <v>161</v>
      </c>
      <c r="E38" s="7" t="s">
        <v>327</v>
      </c>
      <c r="F38" s="7" t="s">
        <v>171</v>
      </c>
      <c r="G38" s="7" t="s">
        <v>172</v>
      </c>
      <c r="H38" s="7" t="s">
        <v>147</v>
      </c>
      <c r="I38" s="7" t="s">
        <v>182</v>
      </c>
      <c r="J38" s="7" t="s">
        <v>147</v>
      </c>
      <c r="K38" s="7" t="s">
        <v>147</v>
      </c>
      <c r="L38" s="7" t="s">
        <v>147</v>
      </c>
      <c r="M38" s="7" t="s">
        <v>147</v>
      </c>
      <c r="N38" s="7" t="s">
        <v>183</v>
      </c>
      <c r="O38" s="7" t="s">
        <v>136</v>
      </c>
      <c r="P38" s="7" t="s">
        <v>137</v>
      </c>
      <c r="Q38" s="7" t="s">
        <v>147</v>
      </c>
      <c r="R38" s="7" t="s">
        <v>328</v>
      </c>
      <c r="S38" s="7" t="s">
        <v>176</v>
      </c>
      <c r="T38" s="7" t="s">
        <v>185</v>
      </c>
      <c r="U38" s="8" t="str">
        <f t="shared" si="0"/>
        <v>UNIQUE</v>
      </c>
      <c r="V38" s="8" t="str">
        <f t="shared" si="1"/>
        <v>COMPLETE</v>
      </c>
    </row>
    <row r="39" spans="1:22" ht="15" customHeight="1" x14ac:dyDescent="0.3">
      <c r="A39" s="7" t="s">
        <v>329</v>
      </c>
      <c r="B39" s="7" t="s">
        <v>330</v>
      </c>
      <c r="C39" s="7" t="s">
        <v>143</v>
      </c>
      <c r="D39" s="7" t="s">
        <v>130</v>
      </c>
      <c r="E39" s="7" t="s">
        <v>331</v>
      </c>
      <c r="F39" s="7" t="s">
        <v>132</v>
      </c>
      <c r="G39" s="7" t="s">
        <v>172</v>
      </c>
      <c r="H39" s="7" t="s">
        <v>147</v>
      </c>
      <c r="I39" s="7" t="s">
        <v>190</v>
      </c>
      <c r="J39" s="7" t="s">
        <v>147</v>
      </c>
      <c r="K39" s="7" t="s">
        <v>147</v>
      </c>
      <c r="L39" s="7" t="s">
        <v>147</v>
      </c>
      <c r="M39" s="7" t="s">
        <v>147</v>
      </c>
      <c r="N39" s="7" t="s">
        <v>191</v>
      </c>
      <c r="O39" s="7" t="s">
        <v>136</v>
      </c>
      <c r="P39" s="7" t="s">
        <v>137</v>
      </c>
      <c r="Q39" s="7" t="s">
        <v>147</v>
      </c>
      <c r="R39" s="7" t="s">
        <v>332</v>
      </c>
      <c r="S39" s="7" t="s">
        <v>176</v>
      </c>
      <c r="T39" s="7" t="s">
        <v>193</v>
      </c>
      <c r="U39" s="8" t="str">
        <f t="shared" si="0"/>
        <v>UNIQUE</v>
      </c>
      <c r="V39" s="8" t="str">
        <f t="shared" si="1"/>
        <v>COMPLETE</v>
      </c>
    </row>
    <row r="40" spans="1:22" ht="15" customHeight="1" x14ac:dyDescent="0.3">
      <c r="A40" s="7" t="s">
        <v>333</v>
      </c>
      <c r="B40" s="7" t="s">
        <v>334</v>
      </c>
      <c r="C40" s="7" t="s">
        <v>129</v>
      </c>
      <c r="D40" s="7" t="s">
        <v>130</v>
      </c>
      <c r="E40" s="7" t="s">
        <v>335</v>
      </c>
      <c r="F40" s="7" t="s">
        <v>132</v>
      </c>
      <c r="G40" s="7" t="s">
        <v>172</v>
      </c>
      <c r="H40" s="7" t="s">
        <v>7</v>
      </c>
      <c r="I40" s="7" t="s">
        <v>197</v>
      </c>
      <c r="J40" s="7" t="s">
        <v>147</v>
      </c>
      <c r="K40" s="7" t="s">
        <v>147</v>
      </c>
      <c r="L40" s="7" t="s">
        <v>147</v>
      </c>
      <c r="M40" s="7" t="s">
        <v>147</v>
      </c>
      <c r="N40" s="7" t="s">
        <v>198</v>
      </c>
      <c r="O40" s="7" t="s">
        <v>136</v>
      </c>
      <c r="P40" s="7" t="s">
        <v>137</v>
      </c>
      <c r="Q40" s="7" t="s">
        <v>147</v>
      </c>
      <c r="R40" s="7" t="s">
        <v>336</v>
      </c>
      <c r="S40" s="7" t="s">
        <v>139</v>
      </c>
      <c r="T40" s="7" t="s">
        <v>200</v>
      </c>
      <c r="U40" s="8" t="str">
        <f t="shared" si="0"/>
        <v>UNIQUE</v>
      </c>
      <c r="V40" s="8" t="str">
        <f t="shared" si="1"/>
        <v>COMPLETE</v>
      </c>
    </row>
    <row r="41" spans="1:22" ht="15" customHeight="1" x14ac:dyDescent="0.3">
      <c r="A41" s="7" t="s">
        <v>337</v>
      </c>
      <c r="B41" s="7" t="s">
        <v>338</v>
      </c>
      <c r="C41" s="7" t="s">
        <v>143</v>
      </c>
      <c r="D41" s="7" t="s">
        <v>144</v>
      </c>
      <c r="E41" s="7" t="s">
        <v>339</v>
      </c>
      <c r="F41" s="7" t="s">
        <v>132</v>
      </c>
      <c r="G41" s="7" t="s">
        <v>172</v>
      </c>
      <c r="H41" s="7" t="s">
        <v>147</v>
      </c>
      <c r="I41" s="7" t="s">
        <v>205</v>
      </c>
      <c r="J41" s="7" t="s">
        <v>147</v>
      </c>
      <c r="K41" s="7" t="s">
        <v>147</v>
      </c>
      <c r="L41" s="7" t="s">
        <v>147</v>
      </c>
      <c r="M41" s="7" t="s">
        <v>147</v>
      </c>
      <c r="N41" s="7" t="s">
        <v>206</v>
      </c>
      <c r="O41" s="7" t="s">
        <v>136</v>
      </c>
      <c r="P41" s="7" t="s">
        <v>137</v>
      </c>
      <c r="Q41" s="7" t="s">
        <v>147</v>
      </c>
      <c r="R41" s="7" t="s">
        <v>340</v>
      </c>
      <c r="S41" s="7" t="s">
        <v>176</v>
      </c>
      <c r="T41" s="7" t="s">
        <v>208</v>
      </c>
      <c r="U41" s="8" t="str">
        <f t="shared" si="0"/>
        <v>UNIQUE</v>
      </c>
      <c r="V41" s="8" t="str">
        <f t="shared" si="1"/>
        <v>COMPLETE</v>
      </c>
    </row>
    <row r="42" spans="1:22" ht="15" customHeight="1" x14ac:dyDescent="0.3">
      <c r="A42" s="7" t="s">
        <v>341</v>
      </c>
      <c r="B42" s="7" t="s">
        <v>342</v>
      </c>
      <c r="C42" s="7" t="s">
        <v>129</v>
      </c>
      <c r="D42" s="7" t="s">
        <v>161</v>
      </c>
      <c r="E42" s="7" t="s">
        <v>343</v>
      </c>
      <c r="F42" s="7" t="s">
        <v>132</v>
      </c>
      <c r="G42" s="7" t="s">
        <v>172</v>
      </c>
      <c r="H42" s="7" t="s">
        <v>147</v>
      </c>
      <c r="I42" s="7" t="s">
        <v>213</v>
      </c>
      <c r="J42" s="7" t="s">
        <v>147</v>
      </c>
      <c r="K42" s="7" t="s">
        <v>147</v>
      </c>
      <c r="L42" s="7" t="s">
        <v>147</v>
      </c>
      <c r="M42" s="7" t="s">
        <v>147</v>
      </c>
      <c r="N42" s="7" t="s">
        <v>214</v>
      </c>
      <c r="O42" s="7" t="s">
        <v>136</v>
      </c>
      <c r="P42" s="7" t="s">
        <v>137</v>
      </c>
      <c r="Q42" s="7" t="s">
        <v>147</v>
      </c>
      <c r="R42" s="7" t="s">
        <v>344</v>
      </c>
      <c r="S42" s="7" t="s">
        <v>176</v>
      </c>
      <c r="T42" s="7" t="s">
        <v>216</v>
      </c>
      <c r="U42" s="8" t="str">
        <f t="shared" si="0"/>
        <v>UNIQUE</v>
      </c>
      <c r="V42" s="8" t="str">
        <f t="shared" si="1"/>
        <v>COMPLETE</v>
      </c>
    </row>
    <row r="43" spans="1:22" ht="15" customHeight="1" x14ac:dyDescent="0.3">
      <c r="A43" s="7" t="s">
        <v>345</v>
      </c>
      <c r="B43" s="7" t="s">
        <v>346</v>
      </c>
      <c r="C43" s="7" t="s">
        <v>129</v>
      </c>
      <c r="D43" s="7" t="s">
        <v>169</v>
      </c>
      <c r="E43" s="7" t="s">
        <v>347</v>
      </c>
      <c r="F43" s="7" t="s">
        <v>171</v>
      </c>
      <c r="G43" s="7" t="s">
        <v>172</v>
      </c>
      <c r="H43" s="7" t="s">
        <v>147</v>
      </c>
      <c r="I43" s="7" t="s">
        <v>220</v>
      </c>
      <c r="J43" s="7" t="s">
        <v>147</v>
      </c>
      <c r="K43" s="7" t="s">
        <v>147</v>
      </c>
      <c r="L43" s="7" t="s">
        <v>147</v>
      </c>
      <c r="M43" s="7" t="s">
        <v>147</v>
      </c>
      <c r="N43" s="7" t="s">
        <v>221</v>
      </c>
      <c r="O43" s="7" t="s">
        <v>136</v>
      </c>
      <c r="P43" s="7" t="s">
        <v>137</v>
      </c>
      <c r="Q43" s="7" t="s">
        <v>147</v>
      </c>
      <c r="R43" s="7" t="s">
        <v>348</v>
      </c>
      <c r="S43" s="7" t="s">
        <v>176</v>
      </c>
      <c r="T43" s="7" t="s">
        <v>223</v>
      </c>
      <c r="U43" s="8" t="str">
        <f t="shared" si="0"/>
        <v>UNIQUE</v>
      </c>
      <c r="V43" s="8" t="str">
        <f t="shared" si="1"/>
        <v>COMPLETE</v>
      </c>
    </row>
    <row r="44" spans="1:22" ht="15" customHeight="1" x14ac:dyDescent="0.3">
      <c r="A44" s="7" t="s">
        <v>349</v>
      </c>
      <c r="B44" s="7" t="s">
        <v>350</v>
      </c>
      <c r="C44" s="7" t="s">
        <v>143</v>
      </c>
      <c r="D44" s="7" t="s">
        <v>130</v>
      </c>
      <c r="E44" s="7" t="s">
        <v>351</v>
      </c>
      <c r="F44" s="7" t="s">
        <v>132</v>
      </c>
      <c r="G44" s="7" t="s">
        <v>172</v>
      </c>
      <c r="H44" s="7" t="s">
        <v>7</v>
      </c>
      <c r="I44" s="7" t="s">
        <v>227</v>
      </c>
      <c r="J44" s="7" t="s">
        <v>147</v>
      </c>
      <c r="K44" s="7" t="s">
        <v>147</v>
      </c>
      <c r="L44" s="7" t="s">
        <v>147</v>
      </c>
      <c r="M44" s="7" t="s">
        <v>147</v>
      </c>
      <c r="N44" s="7" t="s">
        <v>228</v>
      </c>
      <c r="O44" s="7" t="s">
        <v>136</v>
      </c>
      <c r="P44" s="7" t="s">
        <v>137</v>
      </c>
      <c r="Q44" s="7" t="s">
        <v>147</v>
      </c>
      <c r="R44" s="7" t="s">
        <v>352</v>
      </c>
      <c r="S44" s="7" t="s">
        <v>139</v>
      </c>
      <c r="T44" s="7" t="s">
        <v>230</v>
      </c>
      <c r="U44" s="8" t="str">
        <f t="shared" si="0"/>
        <v>UNIQUE</v>
      </c>
      <c r="V44" s="8" t="str">
        <f t="shared" si="1"/>
        <v>COMPLETE</v>
      </c>
    </row>
    <row r="45" spans="1:22" ht="15" customHeight="1" x14ac:dyDescent="0.3">
      <c r="A45" s="7" t="s">
        <v>353</v>
      </c>
      <c r="B45" s="7" t="s">
        <v>354</v>
      </c>
      <c r="C45" s="7" t="s">
        <v>129</v>
      </c>
      <c r="D45" s="7" t="s">
        <v>153</v>
      </c>
      <c r="E45" s="7" t="s">
        <v>355</v>
      </c>
      <c r="F45" s="7" t="s">
        <v>132</v>
      </c>
      <c r="G45" s="7" t="s">
        <v>172</v>
      </c>
      <c r="H45" s="7" t="s">
        <v>147</v>
      </c>
      <c r="I45" s="7" t="s">
        <v>234</v>
      </c>
      <c r="J45" s="7" t="s">
        <v>147</v>
      </c>
      <c r="K45" s="7" t="s">
        <v>147</v>
      </c>
      <c r="L45" s="7" t="s">
        <v>147</v>
      </c>
      <c r="M45" s="7" t="s">
        <v>147</v>
      </c>
      <c r="N45" s="7" t="s">
        <v>235</v>
      </c>
      <c r="O45" s="7" t="s">
        <v>136</v>
      </c>
      <c r="P45" s="7" t="s">
        <v>137</v>
      </c>
      <c r="Q45" s="7" t="s">
        <v>147</v>
      </c>
      <c r="R45" s="7" t="s">
        <v>356</v>
      </c>
      <c r="S45" s="7" t="s">
        <v>176</v>
      </c>
      <c r="T45" s="7" t="s">
        <v>237</v>
      </c>
      <c r="U45" s="8" t="str">
        <f t="shared" si="0"/>
        <v>UNIQUE</v>
      </c>
      <c r="V45" s="8" t="str">
        <f t="shared" si="1"/>
        <v>COMPLETE</v>
      </c>
    </row>
    <row r="46" spans="1:22" ht="15" customHeight="1" x14ac:dyDescent="0.3">
      <c r="A46" s="7" t="s">
        <v>357</v>
      </c>
      <c r="B46" s="7" t="s">
        <v>358</v>
      </c>
      <c r="C46" s="7" t="s">
        <v>143</v>
      </c>
      <c r="D46" s="7" t="s">
        <v>211</v>
      </c>
      <c r="E46" s="7" t="s">
        <v>359</v>
      </c>
      <c r="F46" s="7" t="s">
        <v>132</v>
      </c>
      <c r="G46" s="7" t="s">
        <v>172</v>
      </c>
      <c r="H46" s="7" t="s">
        <v>147</v>
      </c>
      <c r="I46" s="7" t="s">
        <v>241</v>
      </c>
      <c r="J46" s="7" t="s">
        <v>147</v>
      </c>
      <c r="K46" s="7" t="s">
        <v>147</v>
      </c>
      <c r="L46" s="7" t="s">
        <v>147</v>
      </c>
      <c r="M46" s="7" t="s">
        <v>147</v>
      </c>
      <c r="N46" s="7" t="s">
        <v>242</v>
      </c>
      <c r="O46" s="7" t="s">
        <v>136</v>
      </c>
      <c r="P46" s="7" t="s">
        <v>137</v>
      </c>
      <c r="Q46" s="7" t="s">
        <v>147</v>
      </c>
      <c r="R46" s="7" t="s">
        <v>360</v>
      </c>
      <c r="S46" s="7" t="s">
        <v>176</v>
      </c>
      <c r="T46" s="7" t="s">
        <v>244</v>
      </c>
      <c r="U46" s="8" t="str">
        <f t="shared" si="0"/>
        <v>UNIQUE</v>
      </c>
      <c r="V46" s="8" t="str">
        <f t="shared" si="1"/>
        <v>COMPLETE</v>
      </c>
    </row>
    <row r="47" spans="1:22" ht="15" customHeight="1" x14ac:dyDescent="0.3">
      <c r="A47" s="7" t="s">
        <v>361</v>
      </c>
      <c r="B47" s="7" t="s">
        <v>362</v>
      </c>
      <c r="C47" s="7" t="s">
        <v>129</v>
      </c>
      <c r="D47" s="7" t="s">
        <v>161</v>
      </c>
      <c r="E47" s="7" t="s">
        <v>363</v>
      </c>
      <c r="F47" s="7" t="s">
        <v>171</v>
      </c>
      <c r="G47" s="7" t="s">
        <v>172</v>
      </c>
      <c r="H47" s="7" t="s">
        <v>147</v>
      </c>
      <c r="I47" s="7" t="s">
        <v>134</v>
      </c>
      <c r="J47" s="7" t="s">
        <v>147</v>
      </c>
      <c r="K47" s="7" t="s">
        <v>147</v>
      </c>
      <c r="L47" s="7" t="s">
        <v>147</v>
      </c>
      <c r="M47" s="7" t="s">
        <v>147</v>
      </c>
      <c r="N47" s="7" t="s">
        <v>135</v>
      </c>
      <c r="O47" s="7" t="s">
        <v>136</v>
      </c>
      <c r="P47" s="7" t="s">
        <v>137</v>
      </c>
      <c r="Q47" s="7" t="s">
        <v>147</v>
      </c>
      <c r="R47" s="7" t="s">
        <v>364</v>
      </c>
      <c r="S47" s="7" t="s">
        <v>176</v>
      </c>
      <c r="T47" s="7" t="s">
        <v>140</v>
      </c>
      <c r="U47" s="8" t="str">
        <f t="shared" si="0"/>
        <v>UNIQUE</v>
      </c>
      <c r="V47" s="8" t="str">
        <f t="shared" si="1"/>
        <v>COMPLETE</v>
      </c>
    </row>
    <row r="48" spans="1:22" ht="15" customHeight="1" x14ac:dyDescent="0.3">
      <c r="A48" s="7" t="s">
        <v>365</v>
      </c>
      <c r="B48" s="7" t="s">
        <v>366</v>
      </c>
      <c r="C48" s="7" t="s">
        <v>143</v>
      </c>
      <c r="D48" s="7" t="s">
        <v>130</v>
      </c>
      <c r="E48" s="7" t="s">
        <v>367</v>
      </c>
      <c r="F48" s="7" t="s">
        <v>181</v>
      </c>
      <c r="G48" s="7" t="s">
        <v>172</v>
      </c>
      <c r="H48" s="7" t="s">
        <v>7</v>
      </c>
      <c r="I48" s="7" t="s">
        <v>146</v>
      </c>
      <c r="J48" s="7" t="s">
        <v>147</v>
      </c>
      <c r="K48" s="7" t="s">
        <v>147</v>
      </c>
      <c r="L48" s="7" t="s">
        <v>147</v>
      </c>
      <c r="M48" s="7" t="s">
        <v>147</v>
      </c>
      <c r="N48" s="7" t="s">
        <v>148</v>
      </c>
      <c r="O48" s="7" t="s">
        <v>136</v>
      </c>
      <c r="P48" s="7" t="s">
        <v>137</v>
      </c>
      <c r="Q48" s="7" t="s">
        <v>147</v>
      </c>
      <c r="R48" s="7" t="s">
        <v>368</v>
      </c>
      <c r="S48" s="7" t="s">
        <v>139</v>
      </c>
      <c r="T48" s="7" t="s">
        <v>150</v>
      </c>
      <c r="U48" s="8" t="str">
        <f t="shared" si="0"/>
        <v>UNIQUE</v>
      </c>
      <c r="V48" s="8" t="str">
        <f t="shared" si="1"/>
        <v>COMPLETE</v>
      </c>
    </row>
    <row r="49" spans="1:22" ht="15" customHeight="1" x14ac:dyDescent="0.3">
      <c r="A49" s="7" t="s">
        <v>369</v>
      </c>
      <c r="B49" s="7" t="s">
        <v>370</v>
      </c>
      <c r="C49" s="7" t="s">
        <v>129</v>
      </c>
      <c r="D49" s="7" t="s">
        <v>169</v>
      </c>
      <c r="E49" s="7" t="s">
        <v>371</v>
      </c>
      <c r="F49" s="7" t="s">
        <v>132</v>
      </c>
      <c r="G49" s="7" t="s">
        <v>172</v>
      </c>
      <c r="H49" s="7" t="s">
        <v>147</v>
      </c>
      <c r="I49" s="7" t="s">
        <v>155</v>
      </c>
      <c r="J49" s="7" t="s">
        <v>147</v>
      </c>
      <c r="K49" s="7" t="s">
        <v>147</v>
      </c>
      <c r="L49" s="7" t="s">
        <v>147</v>
      </c>
      <c r="M49" s="7" t="s">
        <v>147</v>
      </c>
      <c r="N49" s="7" t="s">
        <v>156</v>
      </c>
      <c r="O49" s="7" t="s">
        <v>136</v>
      </c>
      <c r="P49" s="7" t="s">
        <v>137</v>
      </c>
      <c r="Q49" s="7" t="s">
        <v>147</v>
      </c>
      <c r="R49" s="7" t="s">
        <v>372</v>
      </c>
      <c r="S49" s="7" t="s">
        <v>176</v>
      </c>
      <c r="T49" s="7" t="s">
        <v>158</v>
      </c>
      <c r="U49" s="8" t="str">
        <f t="shared" si="0"/>
        <v>UNIQUE</v>
      </c>
      <c r="V49" s="8" t="str">
        <f t="shared" si="1"/>
        <v>COMPLETE</v>
      </c>
    </row>
    <row r="50" spans="1:22" ht="15" customHeight="1" x14ac:dyDescent="0.3">
      <c r="A50" s="7" t="s">
        <v>373</v>
      </c>
      <c r="B50" s="7" t="s">
        <v>374</v>
      </c>
      <c r="C50" s="7" t="s">
        <v>129</v>
      </c>
      <c r="D50" s="7" t="s">
        <v>161</v>
      </c>
      <c r="E50" s="7" t="s">
        <v>375</v>
      </c>
      <c r="F50" s="7" t="s">
        <v>132</v>
      </c>
      <c r="G50" s="7" t="s">
        <v>172</v>
      </c>
      <c r="H50" s="7" t="s">
        <v>147</v>
      </c>
      <c r="I50" s="7" t="s">
        <v>163</v>
      </c>
      <c r="J50" s="7" t="s">
        <v>147</v>
      </c>
      <c r="K50" s="7" t="s">
        <v>147</v>
      </c>
      <c r="L50" s="7" t="s">
        <v>147</v>
      </c>
      <c r="M50" s="7" t="s">
        <v>147</v>
      </c>
      <c r="N50" s="7" t="s">
        <v>164</v>
      </c>
      <c r="O50" s="7" t="s">
        <v>136</v>
      </c>
      <c r="P50" s="7" t="s">
        <v>137</v>
      </c>
      <c r="Q50" s="7" t="s">
        <v>147</v>
      </c>
      <c r="R50" s="7" t="s">
        <v>376</v>
      </c>
      <c r="S50" s="7" t="s">
        <v>176</v>
      </c>
      <c r="T50" s="7" t="s">
        <v>166</v>
      </c>
      <c r="U50" s="8" t="str">
        <f t="shared" si="0"/>
        <v>UNIQUE</v>
      </c>
      <c r="V50" s="8" t="str">
        <f t="shared" si="1"/>
        <v>COMPLETE</v>
      </c>
    </row>
    <row r="51" spans="1:22" ht="15" customHeight="1" x14ac:dyDescent="0.3">
      <c r="A51" s="7" t="s">
        <v>377</v>
      </c>
      <c r="B51" s="7" t="s">
        <v>378</v>
      </c>
      <c r="C51" s="7" t="s">
        <v>129</v>
      </c>
      <c r="D51" s="7" t="s">
        <v>379</v>
      </c>
      <c r="E51" s="7" t="s">
        <v>380</v>
      </c>
      <c r="F51" s="7" t="s">
        <v>181</v>
      </c>
      <c r="G51" s="7" t="s">
        <v>172</v>
      </c>
      <c r="H51" s="7" t="s">
        <v>147</v>
      </c>
      <c r="I51" s="7" t="s">
        <v>173</v>
      </c>
      <c r="J51" s="7" t="s">
        <v>147</v>
      </c>
      <c r="K51" s="7" t="s">
        <v>147</v>
      </c>
      <c r="L51" s="7" t="s">
        <v>147</v>
      </c>
      <c r="M51" s="7" t="s">
        <v>147</v>
      </c>
      <c r="N51" s="7" t="s">
        <v>174</v>
      </c>
      <c r="O51" s="7" t="s">
        <v>136</v>
      </c>
      <c r="P51" s="7" t="s">
        <v>137</v>
      </c>
      <c r="Q51" s="7" t="s">
        <v>147</v>
      </c>
      <c r="R51" s="7" t="s">
        <v>381</v>
      </c>
      <c r="S51" s="7" t="s">
        <v>176</v>
      </c>
      <c r="T51" s="7" t="s">
        <v>177</v>
      </c>
      <c r="U51" s="8" t="str">
        <f t="shared" si="0"/>
        <v>UNIQUE</v>
      </c>
      <c r="V51" s="8" t="str">
        <f t="shared" si="1"/>
        <v>COMPLETE</v>
      </c>
    </row>
    <row r="52" spans="1:22" ht="15" customHeight="1" x14ac:dyDescent="0.3">
      <c r="A52" s="7" t="s">
        <v>382</v>
      </c>
      <c r="B52" s="7" t="s">
        <v>383</v>
      </c>
      <c r="C52" s="7" t="s">
        <v>129</v>
      </c>
      <c r="D52" s="7" t="s">
        <v>130</v>
      </c>
      <c r="E52" s="7" t="s">
        <v>384</v>
      </c>
      <c r="F52" s="7" t="s">
        <v>132</v>
      </c>
      <c r="G52" s="7" t="s">
        <v>172</v>
      </c>
      <c r="H52" s="7" t="s">
        <v>7</v>
      </c>
      <c r="I52" s="7" t="s">
        <v>182</v>
      </c>
      <c r="J52" s="7" t="s">
        <v>147</v>
      </c>
      <c r="K52" s="7" t="s">
        <v>147</v>
      </c>
      <c r="L52" s="7" t="s">
        <v>147</v>
      </c>
      <c r="M52" s="7" t="s">
        <v>147</v>
      </c>
      <c r="N52" s="7" t="s">
        <v>183</v>
      </c>
      <c r="O52" s="7" t="s">
        <v>136</v>
      </c>
      <c r="P52" s="7" t="s">
        <v>137</v>
      </c>
      <c r="Q52" s="7" t="s">
        <v>147</v>
      </c>
      <c r="R52" s="7" t="s">
        <v>385</v>
      </c>
      <c r="S52" s="7" t="s">
        <v>139</v>
      </c>
      <c r="T52" s="7" t="s">
        <v>185</v>
      </c>
      <c r="U52" s="8" t="str">
        <f t="shared" si="0"/>
        <v>UNIQUE</v>
      </c>
      <c r="V52" s="8" t="str">
        <f t="shared" si="1"/>
        <v>COMPLETE</v>
      </c>
    </row>
    <row r="53" spans="1:22" ht="15" customHeight="1" x14ac:dyDescent="0.3">
      <c r="A53" s="7" t="s">
        <v>386</v>
      </c>
      <c r="B53" s="7" t="s">
        <v>387</v>
      </c>
      <c r="C53" s="7" t="s">
        <v>143</v>
      </c>
      <c r="D53" s="7" t="s">
        <v>130</v>
      </c>
      <c r="E53" s="7" t="s">
        <v>388</v>
      </c>
      <c r="F53" s="7" t="s">
        <v>132</v>
      </c>
      <c r="G53" s="7" t="s">
        <v>172</v>
      </c>
      <c r="H53" s="7" t="s">
        <v>147</v>
      </c>
      <c r="I53" s="7" t="s">
        <v>190</v>
      </c>
      <c r="J53" s="7" t="s">
        <v>147</v>
      </c>
      <c r="K53" s="7" t="s">
        <v>147</v>
      </c>
      <c r="L53" s="7" t="s">
        <v>147</v>
      </c>
      <c r="M53" s="7" t="s">
        <v>147</v>
      </c>
      <c r="N53" s="7" t="s">
        <v>191</v>
      </c>
      <c r="O53" s="7" t="s">
        <v>136</v>
      </c>
      <c r="P53" s="7" t="s">
        <v>137</v>
      </c>
      <c r="Q53" s="7" t="s">
        <v>147</v>
      </c>
      <c r="R53" s="7" t="s">
        <v>389</v>
      </c>
      <c r="S53" s="7" t="s">
        <v>176</v>
      </c>
      <c r="T53" s="7" t="s">
        <v>193</v>
      </c>
      <c r="U53" s="8" t="str">
        <f t="shared" si="0"/>
        <v>UNIQUE</v>
      </c>
      <c r="V53" s="8" t="str">
        <f t="shared" si="1"/>
        <v>COMPLETE</v>
      </c>
    </row>
    <row r="54" spans="1:22" ht="15" customHeight="1" x14ac:dyDescent="0.3">
      <c r="A54" s="7" t="s">
        <v>390</v>
      </c>
      <c r="B54" s="7" t="s">
        <v>391</v>
      </c>
      <c r="C54" s="7" t="s">
        <v>129</v>
      </c>
      <c r="D54" s="7" t="s">
        <v>153</v>
      </c>
      <c r="E54" s="7" t="s">
        <v>392</v>
      </c>
      <c r="F54" s="7" t="s">
        <v>171</v>
      </c>
      <c r="G54" s="7" t="s">
        <v>172</v>
      </c>
      <c r="H54" s="7" t="s">
        <v>147</v>
      </c>
      <c r="I54" s="7" t="s">
        <v>197</v>
      </c>
      <c r="J54" s="7" t="s">
        <v>147</v>
      </c>
      <c r="K54" s="7" t="s">
        <v>147</v>
      </c>
      <c r="L54" s="7" t="s">
        <v>147</v>
      </c>
      <c r="M54" s="7" t="s">
        <v>147</v>
      </c>
      <c r="N54" s="7" t="s">
        <v>198</v>
      </c>
      <c r="O54" s="7" t="s">
        <v>136</v>
      </c>
      <c r="P54" s="7" t="s">
        <v>137</v>
      </c>
      <c r="Q54" s="7" t="s">
        <v>147</v>
      </c>
      <c r="R54" s="7" t="s">
        <v>393</v>
      </c>
      <c r="S54" s="7" t="s">
        <v>176</v>
      </c>
      <c r="T54" s="7" t="s">
        <v>200</v>
      </c>
      <c r="U54" s="8" t="str">
        <f t="shared" si="0"/>
        <v>UNIQUE</v>
      </c>
      <c r="V54" s="8" t="str">
        <f t="shared" si="1"/>
        <v>COMPLETE</v>
      </c>
    </row>
    <row r="55" spans="1:22" ht="15" customHeight="1" x14ac:dyDescent="0.3">
      <c r="A55" s="7" t="s">
        <v>394</v>
      </c>
      <c r="B55" s="7" t="s">
        <v>395</v>
      </c>
      <c r="C55" s="7" t="s">
        <v>129</v>
      </c>
      <c r="D55" s="7" t="s">
        <v>130</v>
      </c>
      <c r="E55" s="7" t="s">
        <v>396</v>
      </c>
      <c r="F55" s="7" t="s">
        <v>132</v>
      </c>
      <c r="G55" s="7" t="s">
        <v>133</v>
      </c>
      <c r="H55" s="7" t="s">
        <v>7</v>
      </c>
      <c r="I55" s="7" t="s">
        <v>205</v>
      </c>
      <c r="J55" s="7" t="s">
        <v>7</v>
      </c>
      <c r="K55" s="7" t="s">
        <v>147</v>
      </c>
      <c r="L55" s="7" t="s">
        <v>7</v>
      </c>
      <c r="M55" s="7" t="s">
        <v>147</v>
      </c>
      <c r="N55" s="7" t="s">
        <v>206</v>
      </c>
      <c r="O55" s="7" t="s">
        <v>136</v>
      </c>
      <c r="P55" s="7" t="s">
        <v>137</v>
      </c>
      <c r="Q55" s="7" t="s">
        <v>7</v>
      </c>
      <c r="R55" s="7" t="s">
        <v>397</v>
      </c>
      <c r="S55" s="7" t="s">
        <v>139</v>
      </c>
      <c r="T55" s="7" t="s">
        <v>208</v>
      </c>
      <c r="U55" s="8" t="str">
        <f t="shared" si="0"/>
        <v>UNIQUE</v>
      </c>
      <c r="V55" s="8" t="str">
        <f t="shared" si="1"/>
        <v>COMPLETE</v>
      </c>
    </row>
    <row r="56" spans="1:22" ht="15" customHeight="1" x14ac:dyDescent="0.3">
      <c r="A56" s="7" t="s">
        <v>398</v>
      </c>
      <c r="B56" s="7" t="s">
        <v>399</v>
      </c>
      <c r="C56" s="7" t="s">
        <v>143</v>
      </c>
      <c r="D56" s="7" t="s">
        <v>259</v>
      </c>
      <c r="E56" s="7" t="s">
        <v>400</v>
      </c>
      <c r="F56" s="7" t="s">
        <v>132</v>
      </c>
      <c r="G56" s="7" t="s">
        <v>133</v>
      </c>
      <c r="H56" s="7" t="s">
        <v>7</v>
      </c>
      <c r="I56" s="7" t="s">
        <v>213</v>
      </c>
      <c r="J56" s="7" t="s">
        <v>7</v>
      </c>
      <c r="K56" s="7" t="s">
        <v>147</v>
      </c>
      <c r="L56" s="7" t="s">
        <v>7</v>
      </c>
      <c r="M56" s="7" t="s">
        <v>147</v>
      </c>
      <c r="N56" s="7" t="s">
        <v>214</v>
      </c>
      <c r="O56" s="7" t="s">
        <v>136</v>
      </c>
      <c r="P56" s="7" t="s">
        <v>137</v>
      </c>
      <c r="Q56" s="7" t="s">
        <v>7</v>
      </c>
      <c r="R56" s="7" t="s">
        <v>401</v>
      </c>
      <c r="S56" s="7" t="s">
        <v>139</v>
      </c>
      <c r="T56" s="7" t="s">
        <v>216</v>
      </c>
      <c r="U56" s="8" t="str">
        <f t="shared" si="0"/>
        <v>UNIQUE</v>
      </c>
      <c r="V56" s="8" t="str">
        <f t="shared" si="1"/>
        <v>COMPLETE</v>
      </c>
    </row>
    <row r="57" spans="1:22" ht="15" customHeight="1" x14ac:dyDescent="0.3">
      <c r="A57" s="7" t="s">
        <v>402</v>
      </c>
      <c r="B57" s="7" t="s">
        <v>403</v>
      </c>
      <c r="C57" s="7" t="s">
        <v>129</v>
      </c>
      <c r="D57" s="7" t="s">
        <v>161</v>
      </c>
      <c r="E57" s="7" t="s">
        <v>404</v>
      </c>
      <c r="F57" s="7" t="s">
        <v>171</v>
      </c>
      <c r="G57" s="7" t="s">
        <v>133</v>
      </c>
      <c r="H57" s="7" t="s">
        <v>7</v>
      </c>
      <c r="I57" s="7" t="s">
        <v>220</v>
      </c>
      <c r="J57" s="7" t="s">
        <v>7</v>
      </c>
      <c r="K57" s="7" t="s">
        <v>147</v>
      </c>
      <c r="L57" s="7" t="s">
        <v>7</v>
      </c>
      <c r="M57" s="7" t="s">
        <v>147</v>
      </c>
      <c r="N57" s="7" t="s">
        <v>221</v>
      </c>
      <c r="O57" s="7" t="s">
        <v>136</v>
      </c>
      <c r="P57" s="7" t="s">
        <v>137</v>
      </c>
      <c r="Q57" s="7" t="s">
        <v>7</v>
      </c>
      <c r="R57" s="7" t="s">
        <v>405</v>
      </c>
      <c r="S57" s="7" t="s">
        <v>139</v>
      </c>
      <c r="T57" s="7" t="s">
        <v>223</v>
      </c>
      <c r="U57" s="8" t="str">
        <f t="shared" si="0"/>
        <v>UNIQUE</v>
      </c>
      <c r="V57" s="8" t="str">
        <f t="shared" si="1"/>
        <v>COMPLETE</v>
      </c>
    </row>
    <row r="58" spans="1:22" ht="15" customHeight="1" x14ac:dyDescent="0.3">
      <c r="A58" s="7" t="s">
        <v>406</v>
      </c>
      <c r="B58" s="7" t="s">
        <v>407</v>
      </c>
      <c r="C58" s="7" t="s">
        <v>129</v>
      </c>
      <c r="D58" s="7" t="s">
        <v>153</v>
      </c>
      <c r="E58" s="7" t="s">
        <v>408</v>
      </c>
      <c r="F58" s="7" t="s">
        <v>181</v>
      </c>
      <c r="G58" s="7" t="s">
        <v>133</v>
      </c>
      <c r="H58" s="7" t="s">
        <v>7</v>
      </c>
      <c r="I58" s="7" t="s">
        <v>227</v>
      </c>
      <c r="J58" s="7" t="s">
        <v>7</v>
      </c>
      <c r="K58" s="7" t="s">
        <v>147</v>
      </c>
      <c r="L58" s="7" t="s">
        <v>7</v>
      </c>
      <c r="M58" s="7" t="s">
        <v>147</v>
      </c>
      <c r="N58" s="7" t="s">
        <v>228</v>
      </c>
      <c r="O58" s="7" t="s">
        <v>136</v>
      </c>
      <c r="P58" s="7" t="s">
        <v>137</v>
      </c>
      <c r="Q58" s="7" t="s">
        <v>7</v>
      </c>
      <c r="R58" s="7" t="s">
        <v>409</v>
      </c>
      <c r="S58" s="7" t="s">
        <v>139</v>
      </c>
      <c r="T58" s="7" t="s">
        <v>230</v>
      </c>
      <c r="U58" s="8" t="str">
        <f t="shared" si="0"/>
        <v>UNIQUE</v>
      </c>
      <c r="V58" s="8" t="str">
        <f t="shared" si="1"/>
        <v>COMPLETE</v>
      </c>
    </row>
    <row r="59" spans="1:22" ht="15" customHeight="1" x14ac:dyDescent="0.3">
      <c r="A59" s="7" t="s">
        <v>410</v>
      </c>
      <c r="B59" s="7" t="s">
        <v>411</v>
      </c>
      <c r="C59" s="7" t="s">
        <v>129</v>
      </c>
      <c r="D59" s="7" t="s">
        <v>169</v>
      </c>
      <c r="E59" s="7" t="s">
        <v>412</v>
      </c>
      <c r="F59" s="7" t="s">
        <v>132</v>
      </c>
      <c r="G59" s="7" t="s">
        <v>172</v>
      </c>
      <c r="H59" s="7" t="s">
        <v>147</v>
      </c>
      <c r="I59" s="7" t="s">
        <v>234</v>
      </c>
      <c r="J59" s="7" t="s">
        <v>147</v>
      </c>
      <c r="K59" s="7" t="s">
        <v>147</v>
      </c>
      <c r="L59" s="7" t="s">
        <v>147</v>
      </c>
      <c r="M59" s="7" t="s">
        <v>147</v>
      </c>
      <c r="N59" s="7" t="s">
        <v>235</v>
      </c>
      <c r="O59" s="7" t="s">
        <v>136</v>
      </c>
      <c r="P59" s="7" t="s">
        <v>137</v>
      </c>
      <c r="Q59" s="7" t="s">
        <v>147</v>
      </c>
      <c r="R59" s="7" t="s">
        <v>413</v>
      </c>
      <c r="S59" s="7" t="s">
        <v>176</v>
      </c>
      <c r="T59" s="7" t="s">
        <v>237</v>
      </c>
      <c r="U59" s="8" t="str">
        <f t="shared" si="0"/>
        <v>UNIQUE</v>
      </c>
      <c r="V59" s="8" t="str">
        <f t="shared" si="1"/>
        <v>COMPLETE</v>
      </c>
    </row>
    <row r="60" spans="1:22" ht="15" customHeight="1" x14ac:dyDescent="0.3">
      <c r="A60" s="7" t="s">
        <v>414</v>
      </c>
      <c r="B60" s="7" t="s">
        <v>415</v>
      </c>
      <c r="C60" s="7" t="s">
        <v>143</v>
      </c>
      <c r="D60" s="7" t="s">
        <v>130</v>
      </c>
      <c r="E60" s="7" t="s">
        <v>416</v>
      </c>
      <c r="F60" s="7" t="s">
        <v>132</v>
      </c>
      <c r="G60" s="7" t="s">
        <v>172</v>
      </c>
      <c r="H60" s="7" t="s">
        <v>7</v>
      </c>
      <c r="I60" s="7" t="s">
        <v>241</v>
      </c>
      <c r="J60" s="7" t="s">
        <v>147</v>
      </c>
      <c r="K60" s="7" t="s">
        <v>147</v>
      </c>
      <c r="L60" s="7" t="s">
        <v>147</v>
      </c>
      <c r="M60" s="7" t="s">
        <v>147</v>
      </c>
      <c r="N60" s="7" t="s">
        <v>242</v>
      </c>
      <c r="O60" s="7" t="s">
        <v>136</v>
      </c>
      <c r="P60" s="7" t="s">
        <v>137</v>
      </c>
      <c r="Q60" s="7" t="s">
        <v>147</v>
      </c>
      <c r="R60" s="7" t="s">
        <v>417</v>
      </c>
      <c r="S60" s="7" t="s">
        <v>139</v>
      </c>
      <c r="T60" s="7" t="s">
        <v>244</v>
      </c>
      <c r="U60" s="8" t="str">
        <f t="shared" si="0"/>
        <v>UNIQUE</v>
      </c>
      <c r="V60" s="8" t="str">
        <f t="shared" si="1"/>
        <v>COMPLETE</v>
      </c>
    </row>
    <row r="61" spans="1:22" ht="15" customHeight="1" x14ac:dyDescent="0.3">
      <c r="A61" s="7" t="s">
        <v>418</v>
      </c>
      <c r="B61" s="7" t="s">
        <v>419</v>
      </c>
      <c r="C61" s="7" t="s">
        <v>129</v>
      </c>
      <c r="D61" s="7" t="s">
        <v>161</v>
      </c>
      <c r="E61" s="7" t="s">
        <v>420</v>
      </c>
      <c r="F61" s="7" t="s">
        <v>132</v>
      </c>
      <c r="G61" s="7" t="s">
        <v>172</v>
      </c>
      <c r="H61" s="7" t="s">
        <v>147</v>
      </c>
      <c r="I61" s="7" t="s">
        <v>134</v>
      </c>
      <c r="J61" s="7" t="s">
        <v>147</v>
      </c>
      <c r="K61" s="7" t="s">
        <v>147</v>
      </c>
      <c r="L61" s="7" t="s">
        <v>147</v>
      </c>
      <c r="M61" s="7" t="s">
        <v>147</v>
      </c>
      <c r="N61" s="7" t="s">
        <v>135</v>
      </c>
      <c r="O61" s="7" t="s">
        <v>136</v>
      </c>
      <c r="P61" s="7" t="s">
        <v>137</v>
      </c>
      <c r="Q61" s="7" t="s">
        <v>147</v>
      </c>
      <c r="R61" s="7" t="s">
        <v>421</v>
      </c>
      <c r="S61" s="7" t="s">
        <v>176</v>
      </c>
      <c r="T61" s="7" t="s">
        <v>140</v>
      </c>
      <c r="U61" s="8" t="str">
        <f t="shared" si="0"/>
        <v>UNIQUE</v>
      </c>
      <c r="V61" s="8" t="str">
        <f t="shared" si="1"/>
        <v>COMPLETE</v>
      </c>
    </row>
    <row r="62" spans="1:22" ht="15" customHeight="1" x14ac:dyDescent="0.3">
      <c r="A62" s="7" t="s">
        <v>422</v>
      </c>
      <c r="B62" s="7" t="s">
        <v>423</v>
      </c>
      <c r="C62" s="7" t="s">
        <v>129</v>
      </c>
      <c r="D62" s="7" t="s">
        <v>203</v>
      </c>
      <c r="E62" s="7" t="s">
        <v>424</v>
      </c>
      <c r="F62" s="7" t="s">
        <v>132</v>
      </c>
      <c r="G62" s="7" t="s">
        <v>172</v>
      </c>
      <c r="H62" s="7" t="s">
        <v>147</v>
      </c>
      <c r="I62" s="7" t="s">
        <v>146</v>
      </c>
      <c r="J62" s="7" t="s">
        <v>147</v>
      </c>
      <c r="K62" s="7" t="s">
        <v>147</v>
      </c>
      <c r="L62" s="7" t="s">
        <v>147</v>
      </c>
      <c r="M62" s="7" t="s">
        <v>147</v>
      </c>
      <c r="N62" s="7" t="s">
        <v>148</v>
      </c>
      <c r="O62" s="7" t="s">
        <v>136</v>
      </c>
      <c r="P62" s="7" t="s">
        <v>137</v>
      </c>
      <c r="Q62" s="7" t="s">
        <v>147</v>
      </c>
      <c r="R62" s="7" t="s">
        <v>425</v>
      </c>
      <c r="S62" s="7" t="s">
        <v>176</v>
      </c>
      <c r="T62" s="7" t="s">
        <v>150</v>
      </c>
      <c r="U62" s="8" t="str">
        <f t="shared" si="0"/>
        <v>UNIQUE</v>
      </c>
      <c r="V62" s="8" t="str">
        <f t="shared" si="1"/>
        <v>COMPLETE</v>
      </c>
    </row>
    <row r="63" spans="1:22" ht="15" customHeight="1" x14ac:dyDescent="0.3">
      <c r="A63" s="7" t="s">
        <v>426</v>
      </c>
      <c r="B63" s="7" t="s">
        <v>427</v>
      </c>
      <c r="C63" s="7" t="s">
        <v>129</v>
      </c>
      <c r="D63" s="7" t="s">
        <v>144</v>
      </c>
      <c r="E63" s="7" t="s">
        <v>428</v>
      </c>
      <c r="F63" s="7" t="s">
        <v>171</v>
      </c>
      <c r="G63" s="7" t="s">
        <v>172</v>
      </c>
      <c r="H63" s="7" t="s">
        <v>147</v>
      </c>
      <c r="I63" s="7" t="s">
        <v>155</v>
      </c>
      <c r="J63" s="7" t="s">
        <v>147</v>
      </c>
      <c r="K63" s="7" t="s">
        <v>147</v>
      </c>
      <c r="L63" s="7" t="s">
        <v>147</v>
      </c>
      <c r="M63" s="7" t="s">
        <v>147</v>
      </c>
      <c r="N63" s="7" t="s">
        <v>156</v>
      </c>
      <c r="O63" s="7" t="s">
        <v>136</v>
      </c>
      <c r="P63" s="7" t="s">
        <v>137</v>
      </c>
      <c r="Q63" s="7" t="s">
        <v>147</v>
      </c>
      <c r="R63" s="7" t="s">
        <v>429</v>
      </c>
      <c r="S63" s="7" t="s">
        <v>176</v>
      </c>
      <c r="T63" s="7" t="s">
        <v>158</v>
      </c>
      <c r="U63" s="8" t="str">
        <f t="shared" si="0"/>
        <v>UNIQUE</v>
      </c>
      <c r="V63" s="8" t="str">
        <f t="shared" si="1"/>
        <v>COMPLETE</v>
      </c>
    </row>
    <row r="64" spans="1:22" ht="15" customHeight="1" x14ac:dyDescent="0.3">
      <c r="A64" s="7" t="s">
        <v>430</v>
      </c>
      <c r="B64" s="7" t="s">
        <v>431</v>
      </c>
      <c r="C64" s="7" t="s">
        <v>143</v>
      </c>
      <c r="D64" s="7" t="s">
        <v>130</v>
      </c>
      <c r="E64" s="7" t="s">
        <v>432</v>
      </c>
      <c r="F64" s="7" t="s">
        <v>181</v>
      </c>
      <c r="G64" s="7" t="s">
        <v>172</v>
      </c>
      <c r="H64" s="7" t="s">
        <v>7</v>
      </c>
      <c r="I64" s="7" t="s">
        <v>163</v>
      </c>
      <c r="J64" s="7" t="s">
        <v>147</v>
      </c>
      <c r="K64" s="7" t="s">
        <v>147</v>
      </c>
      <c r="L64" s="7" t="s">
        <v>147</v>
      </c>
      <c r="M64" s="7" t="s">
        <v>147</v>
      </c>
      <c r="N64" s="7" t="s">
        <v>164</v>
      </c>
      <c r="O64" s="7" t="s">
        <v>136</v>
      </c>
      <c r="P64" s="7" t="s">
        <v>137</v>
      </c>
      <c r="Q64" s="7" t="s">
        <v>147</v>
      </c>
      <c r="R64" s="7" t="s">
        <v>433</v>
      </c>
      <c r="S64" s="7" t="s">
        <v>139</v>
      </c>
      <c r="T64" s="7" t="s">
        <v>166</v>
      </c>
      <c r="U64" s="8" t="str">
        <f t="shared" si="0"/>
        <v>UNIQUE</v>
      </c>
      <c r="V64" s="8" t="str">
        <f t="shared" si="1"/>
        <v>COMPLETE</v>
      </c>
    </row>
    <row r="65" spans="1:22" ht="15" customHeight="1" x14ac:dyDescent="0.3">
      <c r="A65" s="7" t="s">
        <v>434</v>
      </c>
      <c r="B65" s="7" t="s">
        <v>435</v>
      </c>
      <c r="C65" s="7" t="s">
        <v>129</v>
      </c>
      <c r="D65" s="7" t="s">
        <v>161</v>
      </c>
      <c r="E65" s="7" t="s">
        <v>436</v>
      </c>
      <c r="F65" s="7" t="s">
        <v>132</v>
      </c>
      <c r="G65" s="7" t="s">
        <v>172</v>
      </c>
      <c r="H65" s="7" t="s">
        <v>147</v>
      </c>
      <c r="I65" s="7" t="s">
        <v>173</v>
      </c>
      <c r="J65" s="7" t="s">
        <v>147</v>
      </c>
      <c r="K65" s="7" t="s">
        <v>147</v>
      </c>
      <c r="L65" s="7" t="s">
        <v>147</v>
      </c>
      <c r="M65" s="7" t="s">
        <v>147</v>
      </c>
      <c r="N65" s="7" t="s">
        <v>174</v>
      </c>
      <c r="O65" s="7" t="s">
        <v>136</v>
      </c>
      <c r="P65" s="7" t="s">
        <v>137</v>
      </c>
      <c r="Q65" s="7" t="s">
        <v>147</v>
      </c>
      <c r="R65" s="7" t="s">
        <v>437</v>
      </c>
      <c r="S65" s="7" t="s">
        <v>176</v>
      </c>
      <c r="T65" s="7" t="s">
        <v>177</v>
      </c>
      <c r="U65" s="8" t="str">
        <f t="shared" si="0"/>
        <v>UNIQUE</v>
      </c>
      <c r="V65" s="8" t="str">
        <f t="shared" si="1"/>
        <v>COMPLETE</v>
      </c>
    </row>
    <row r="66" spans="1:22" ht="15" customHeight="1" x14ac:dyDescent="0.3">
      <c r="A66" s="7" t="s">
        <v>438</v>
      </c>
      <c r="B66" s="7" t="s">
        <v>439</v>
      </c>
      <c r="C66" s="7" t="s">
        <v>129</v>
      </c>
      <c r="D66" s="7" t="s">
        <v>211</v>
      </c>
      <c r="E66" s="7" t="s">
        <v>440</v>
      </c>
      <c r="F66" s="7" t="s">
        <v>132</v>
      </c>
      <c r="G66" s="7" t="s">
        <v>172</v>
      </c>
      <c r="H66" s="7" t="s">
        <v>147</v>
      </c>
      <c r="I66" s="7" t="s">
        <v>182</v>
      </c>
      <c r="J66" s="7" t="s">
        <v>147</v>
      </c>
      <c r="K66" s="7" t="s">
        <v>147</v>
      </c>
      <c r="L66" s="7" t="s">
        <v>147</v>
      </c>
      <c r="M66" s="7" t="s">
        <v>147</v>
      </c>
      <c r="N66" s="7" t="s">
        <v>183</v>
      </c>
      <c r="O66" s="7" t="s">
        <v>136</v>
      </c>
      <c r="P66" s="7" t="s">
        <v>137</v>
      </c>
      <c r="Q66" s="7" t="s">
        <v>147</v>
      </c>
      <c r="R66" s="7" t="s">
        <v>441</v>
      </c>
      <c r="S66" s="7" t="s">
        <v>176</v>
      </c>
      <c r="T66" s="7" t="s">
        <v>185</v>
      </c>
      <c r="U66" s="8" t="str">
        <f t="shared" si="0"/>
        <v>UNIQUE</v>
      </c>
      <c r="V66" s="8" t="str">
        <f t="shared" si="1"/>
        <v>COMPLETE</v>
      </c>
    </row>
    <row r="67" spans="1:22" ht="15" customHeight="1" x14ac:dyDescent="0.3">
      <c r="A67" s="7" t="s">
        <v>442</v>
      </c>
      <c r="B67" s="7" t="s">
        <v>443</v>
      </c>
      <c r="C67" s="7" t="s">
        <v>143</v>
      </c>
      <c r="D67" s="7" t="s">
        <v>169</v>
      </c>
      <c r="E67" s="7" t="s">
        <v>444</v>
      </c>
      <c r="F67" s="7" t="s">
        <v>171</v>
      </c>
      <c r="G67" s="7" t="s">
        <v>172</v>
      </c>
      <c r="H67" s="7" t="s">
        <v>147</v>
      </c>
      <c r="I67" s="7" t="s">
        <v>190</v>
      </c>
      <c r="J67" s="7" t="s">
        <v>147</v>
      </c>
      <c r="K67" s="7" t="s">
        <v>147</v>
      </c>
      <c r="L67" s="7" t="s">
        <v>147</v>
      </c>
      <c r="M67" s="7" t="s">
        <v>147</v>
      </c>
      <c r="N67" s="7" t="s">
        <v>191</v>
      </c>
      <c r="O67" s="7" t="s">
        <v>136</v>
      </c>
      <c r="P67" s="7" t="s">
        <v>137</v>
      </c>
      <c r="Q67" s="7" t="s">
        <v>147</v>
      </c>
      <c r="R67" s="7" t="s">
        <v>445</v>
      </c>
      <c r="S67" s="7" t="s">
        <v>176</v>
      </c>
      <c r="T67" s="7" t="s">
        <v>193</v>
      </c>
      <c r="U67" s="8" t="str">
        <f t="shared" si="0"/>
        <v>UNIQUE</v>
      </c>
      <c r="V67" s="8" t="str">
        <f t="shared" si="1"/>
        <v>COMPLETE</v>
      </c>
    </row>
    <row r="68" spans="1:22" ht="15" customHeight="1" x14ac:dyDescent="0.3">
      <c r="A68" s="7" t="s">
        <v>446</v>
      </c>
      <c r="B68" s="7" t="s">
        <v>447</v>
      </c>
      <c r="C68" s="7" t="s">
        <v>129</v>
      </c>
      <c r="D68" s="7" t="s">
        <v>448</v>
      </c>
      <c r="E68" s="7" t="s">
        <v>449</v>
      </c>
      <c r="F68" s="7" t="s">
        <v>132</v>
      </c>
      <c r="G68" s="7" t="s">
        <v>172</v>
      </c>
      <c r="H68" s="7" t="s">
        <v>7</v>
      </c>
      <c r="I68" s="7" t="s">
        <v>197</v>
      </c>
      <c r="J68" s="7" t="s">
        <v>147</v>
      </c>
      <c r="K68" s="7" t="s">
        <v>147</v>
      </c>
      <c r="L68" s="7" t="s">
        <v>147</v>
      </c>
      <c r="M68" s="7" t="s">
        <v>147</v>
      </c>
      <c r="N68" s="7" t="s">
        <v>198</v>
      </c>
      <c r="O68" s="7" t="s">
        <v>136</v>
      </c>
      <c r="P68" s="7" t="s">
        <v>137</v>
      </c>
      <c r="Q68" s="7" t="s">
        <v>147</v>
      </c>
      <c r="R68" s="7" t="s">
        <v>450</v>
      </c>
      <c r="S68" s="7" t="s">
        <v>139</v>
      </c>
      <c r="T68" s="7" t="s">
        <v>200</v>
      </c>
      <c r="U68" s="8" t="str">
        <f t="shared" si="0"/>
        <v>UNIQUE</v>
      </c>
      <c r="V68" s="8" t="str">
        <f t="shared" si="1"/>
        <v>COMPLETE</v>
      </c>
    </row>
    <row r="69" spans="1:22" ht="15" customHeight="1" x14ac:dyDescent="0.3">
      <c r="A69" s="7" t="s">
        <v>451</v>
      </c>
      <c r="B69" s="7" t="s">
        <v>452</v>
      </c>
      <c r="C69" s="7" t="s">
        <v>129</v>
      </c>
      <c r="D69" s="7" t="s">
        <v>130</v>
      </c>
      <c r="E69" s="7" t="s">
        <v>453</v>
      </c>
      <c r="F69" s="7" t="s">
        <v>181</v>
      </c>
      <c r="G69" s="7" t="s">
        <v>172</v>
      </c>
      <c r="H69" s="7" t="s">
        <v>147</v>
      </c>
      <c r="I69" s="7" t="s">
        <v>205</v>
      </c>
      <c r="J69" s="7" t="s">
        <v>147</v>
      </c>
      <c r="K69" s="7" t="s">
        <v>147</v>
      </c>
      <c r="L69" s="7" t="s">
        <v>147</v>
      </c>
      <c r="M69" s="7" t="s">
        <v>147</v>
      </c>
      <c r="N69" s="7" t="s">
        <v>206</v>
      </c>
      <c r="O69" s="7" t="s">
        <v>136</v>
      </c>
      <c r="P69" s="7" t="s">
        <v>137</v>
      </c>
      <c r="Q69" s="7" t="s">
        <v>147</v>
      </c>
      <c r="R69" s="7" t="s">
        <v>454</v>
      </c>
      <c r="S69" s="7" t="s">
        <v>176</v>
      </c>
      <c r="T69" s="7" t="s">
        <v>208</v>
      </c>
      <c r="U69" s="8" t="str">
        <f t="shared" ref="U69:U132" si="2">IF(A69="","",IF(COUNTIF($B$5:$B$304,B69)&gt;1,"DUPLICATE","UNIQUE"))</f>
        <v>UNIQUE</v>
      </c>
      <c r="V69" s="8" t="str">
        <f t="shared" ref="V69:V132" si="3">IF(A69="","",IF(AND(B69&lt;&gt;"",C69&lt;&gt;"",D69&lt;&gt;"",E69&lt;&gt;"",F69&lt;&gt;"",G69&lt;&gt;"",H69&lt;&gt;"",J69&lt;&gt;"",K69&lt;&gt;"",L69&lt;&gt;"",M69&lt;&gt;"",O69&lt;&gt;"",P69&lt;&gt;"",R69&lt;&gt;""),"COMPLETE","MISSING FIELDS"))</f>
        <v>COMPLETE</v>
      </c>
    </row>
    <row r="70" spans="1:22" ht="15" customHeight="1" x14ac:dyDescent="0.3">
      <c r="A70" s="7" t="s">
        <v>455</v>
      </c>
      <c r="B70" s="7" t="s">
        <v>456</v>
      </c>
      <c r="C70" s="7" t="s">
        <v>143</v>
      </c>
      <c r="D70" s="7" t="s">
        <v>130</v>
      </c>
      <c r="E70" s="7" t="s">
        <v>457</v>
      </c>
      <c r="F70" s="7" t="s">
        <v>132</v>
      </c>
      <c r="G70" s="7" t="s">
        <v>172</v>
      </c>
      <c r="H70" s="7" t="s">
        <v>147</v>
      </c>
      <c r="I70" s="7" t="s">
        <v>213</v>
      </c>
      <c r="J70" s="7" t="s">
        <v>147</v>
      </c>
      <c r="K70" s="7" t="s">
        <v>147</v>
      </c>
      <c r="L70" s="7" t="s">
        <v>147</v>
      </c>
      <c r="M70" s="7" t="s">
        <v>147</v>
      </c>
      <c r="N70" s="7" t="s">
        <v>214</v>
      </c>
      <c r="O70" s="7" t="s">
        <v>136</v>
      </c>
      <c r="P70" s="7" t="s">
        <v>137</v>
      </c>
      <c r="Q70" s="7" t="s">
        <v>147</v>
      </c>
      <c r="R70" s="7" t="s">
        <v>458</v>
      </c>
      <c r="S70" s="7" t="s">
        <v>176</v>
      </c>
      <c r="T70" s="7" t="s">
        <v>216</v>
      </c>
      <c r="U70" s="8" t="str">
        <f t="shared" si="2"/>
        <v>UNIQUE</v>
      </c>
      <c r="V70" s="8" t="str">
        <f t="shared" si="3"/>
        <v>COMPLETE</v>
      </c>
    </row>
    <row r="71" spans="1:22" ht="15" customHeight="1" x14ac:dyDescent="0.3">
      <c r="A71" s="7" t="s">
        <v>459</v>
      </c>
      <c r="B71" s="7" t="s">
        <v>460</v>
      </c>
      <c r="C71" s="7" t="s">
        <v>143</v>
      </c>
      <c r="D71" s="7" t="s">
        <v>461</v>
      </c>
      <c r="E71" s="7" t="s">
        <v>462</v>
      </c>
      <c r="F71" s="7" t="s">
        <v>132</v>
      </c>
      <c r="G71" s="7" t="s">
        <v>172</v>
      </c>
      <c r="H71" s="7" t="s">
        <v>147</v>
      </c>
      <c r="I71" s="7" t="s">
        <v>220</v>
      </c>
      <c r="J71" s="7" t="s">
        <v>147</v>
      </c>
      <c r="K71" s="7" t="s">
        <v>147</v>
      </c>
      <c r="L71" s="7" t="s">
        <v>147</v>
      </c>
      <c r="M71" s="7" t="s">
        <v>147</v>
      </c>
      <c r="N71" s="7" t="s">
        <v>221</v>
      </c>
      <c r="O71" s="7" t="s">
        <v>136</v>
      </c>
      <c r="P71" s="7" t="s">
        <v>137</v>
      </c>
      <c r="Q71" s="7" t="s">
        <v>147</v>
      </c>
      <c r="R71" s="7" t="s">
        <v>463</v>
      </c>
      <c r="S71" s="7" t="s">
        <v>176</v>
      </c>
      <c r="T71" s="7" t="s">
        <v>223</v>
      </c>
      <c r="U71" s="8" t="str">
        <f t="shared" si="2"/>
        <v>UNIQUE</v>
      </c>
      <c r="V71" s="8" t="str">
        <f t="shared" si="3"/>
        <v>COMPLETE</v>
      </c>
    </row>
    <row r="72" spans="1:22" ht="15" customHeight="1" x14ac:dyDescent="0.3">
      <c r="A72" s="7" t="s">
        <v>464</v>
      </c>
      <c r="B72" s="7" t="s">
        <v>465</v>
      </c>
      <c r="C72" s="7" t="s">
        <v>143</v>
      </c>
      <c r="D72" s="7" t="s">
        <v>130</v>
      </c>
      <c r="E72" s="7" t="s">
        <v>466</v>
      </c>
      <c r="F72" s="7" t="s">
        <v>132</v>
      </c>
      <c r="G72" s="7" t="s">
        <v>172</v>
      </c>
      <c r="H72" s="7" t="s">
        <v>7</v>
      </c>
      <c r="I72" s="7" t="s">
        <v>227</v>
      </c>
      <c r="J72" s="7" t="s">
        <v>147</v>
      </c>
      <c r="K72" s="7" t="s">
        <v>147</v>
      </c>
      <c r="L72" s="7" t="s">
        <v>147</v>
      </c>
      <c r="M72" s="7" t="s">
        <v>147</v>
      </c>
      <c r="N72" s="7" t="s">
        <v>228</v>
      </c>
      <c r="O72" s="7" t="s">
        <v>136</v>
      </c>
      <c r="P72" s="7" t="s">
        <v>137</v>
      </c>
      <c r="Q72" s="7" t="s">
        <v>147</v>
      </c>
      <c r="R72" s="7" t="s">
        <v>467</v>
      </c>
      <c r="S72" s="7" t="s">
        <v>139</v>
      </c>
      <c r="T72" s="7" t="s">
        <v>230</v>
      </c>
      <c r="U72" s="8" t="str">
        <f t="shared" si="2"/>
        <v>UNIQUE</v>
      </c>
      <c r="V72" s="8" t="str">
        <f t="shared" si="3"/>
        <v>COMPLETE</v>
      </c>
    </row>
    <row r="73" spans="1:22" ht="15" customHeight="1" x14ac:dyDescent="0.3">
      <c r="A73" s="7" t="s">
        <v>468</v>
      </c>
      <c r="B73" s="7" t="s">
        <v>469</v>
      </c>
      <c r="C73" s="7" t="s">
        <v>143</v>
      </c>
      <c r="D73" s="7" t="s">
        <v>153</v>
      </c>
      <c r="E73" s="7" t="s">
        <v>470</v>
      </c>
      <c r="F73" s="7" t="s">
        <v>171</v>
      </c>
      <c r="G73" s="7" t="s">
        <v>172</v>
      </c>
      <c r="H73" s="7" t="s">
        <v>147</v>
      </c>
      <c r="I73" s="7" t="s">
        <v>234</v>
      </c>
      <c r="J73" s="7" t="s">
        <v>147</v>
      </c>
      <c r="K73" s="7" t="s">
        <v>147</v>
      </c>
      <c r="L73" s="7" t="s">
        <v>147</v>
      </c>
      <c r="M73" s="7" t="s">
        <v>147</v>
      </c>
      <c r="N73" s="7" t="s">
        <v>235</v>
      </c>
      <c r="O73" s="7" t="s">
        <v>136</v>
      </c>
      <c r="P73" s="7" t="s">
        <v>137</v>
      </c>
      <c r="Q73" s="7" t="s">
        <v>147</v>
      </c>
      <c r="R73" s="7" t="s">
        <v>471</v>
      </c>
      <c r="S73" s="7" t="s">
        <v>176</v>
      </c>
      <c r="T73" s="7" t="s">
        <v>237</v>
      </c>
      <c r="U73" s="8" t="str">
        <f t="shared" si="2"/>
        <v>UNIQUE</v>
      </c>
      <c r="V73" s="8" t="str">
        <f t="shared" si="3"/>
        <v>COMPLETE</v>
      </c>
    </row>
    <row r="74" spans="1:22" ht="15" customHeight="1" x14ac:dyDescent="0.3">
      <c r="A74" s="7" t="s">
        <v>472</v>
      </c>
      <c r="B74" s="7" t="s">
        <v>473</v>
      </c>
      <c r="C74" s="7" t="s">
        <v>143</v>
      </c>
      <c r="D74" s="7" t="s">
        <v>130</v>
      </c>
      <c r="E74" s="7" t="s">
        <v>474</v>
      </c>
      <c r="F74" s="7" t="s">
        <v>132</v>
      </c>
      <c r="G74" s="7" t="s">
        <v>172</v>
      </c>
      <c r="H74" s="7" t="s">
        <v>147</v>
      </c>
      <c r="I74" s="7" t="s">
        <v>241</v>
      </c>
      <c r="J74" s="7" t="s">
        <v>147</v>
      </c>
      <c r="K74" s="7" t="s">
        <v>147</v>
      </c>
      <c r="L74" s="7" t="s">
        <v>147</v>
      </c>
      <c r="M74" s="7" t="s">
        <v>147</v>
      </c>
      <c r="N74" s="7" t="s">
        <v>242</v>
      </c>
      <c r="O74" s="7" t="s">
        <v>136</v>
      </c>
      <c r="P74" s="7" t="s">
        <v>137</v>
      </c>
      <c r="Q74" s="7" t="s">
        <v>147</v>
      </c>
      <c r="R74" s="7" t="s">
        <v>475</v>
      </c>
      <c r="S74" s="7" t="s">
        <v>176</v>
      </c>
      <c r="T74" s="7" t="s">
        <v>244</v>
      </c>
      <c r="U74" s="8" t="str">
        <f t="shared" si="2"/>
        <v>UNIQUE</v>
      </c>
      <c r="V74" s="8" t="str">
        <f t="shared" si="3"/>
        <v>COMPLETE</v>
      </c>
    </row>
    <row r="75" spans="1:22" ht="15" customHeight="1" x14ac:dyDescent="0.3">
      <c r="A75" s="7" t="s">
        <v>476</v>
      </c>
      <c r="B75" s="7" t="s">
        <v>477</v>
      </c>
      <c r="C75" s="7" t="s">
        <v>143</v>
      </c>
      <c r="D75" s="7" t="s">
        <v>169</v>
      </c>
      <c r="E75" s="7" t="s">
        <v>478</v>
      </c>
      <c r="F75" s="7" t="s">
        <v>132</v>
      </c>
      <c r="G75" s="7" t="s">
        <v>133</v>
      </c>
      <c r="H75" s="7" t="s">
        <v>7</v>
      </c>
      <c r="I75" s="7" t="s">
        <v>134</v>
      </c>
      <c r="J75" s="7" t="s">
        <v>7</v>
      </c>
      <c r="K75" s="7" t="s">
        <v>147</v>
      </c>
      <c r="L75" s="7" t="s">
        <v>7</v>
      </c>
      <c r="M75" s="7" t="s">
        <v>147</v>
      </c>
      <c r="N75" s="7" t="s">
        <v>135</v>
      </c>
      <c r="O75" s="7" t="s">
        <v>136</v>
      </c>
      <c r="P75" s="7" t="s">
        <v>137</v>
      </c>
      <c r="Q75" s="7" t="s">
        <v>7</v>
      </c>
      <c r="R75" s="7" t="s">
        <v>479</v>
      </c>
      <c r="S75" s="7" t="s">
        <v>139</v>
      </c>
      <c r="T75" s="7" t="s">
        <v>140</v>
      </c>
      <c r="U75" s="8" t="str">
        <f t="shared" si="2"/>
        <v>UNIQUE</v>
      </c>
      <c r="V75" s="8" t="str">
        <f t="shared" si="3"/>
        <v>COMPLETE</v>
      </c>
    </row>
    <row r="76" spans="1:22" ht="15" customHeight="1" x14ac:dyDescent="0.3">
      <c r="A76" s="7" t="s">
        <v>480</v>
      </c>
      <c r="B76" s="7" t="s">
        <v>481</v>
      </c>
      <c r="C76" s="7" t="s">
        <v>143</v>
      </c>
      <c r="D76" s="7" t="s">
        <v>130</v>
      </c>
      <c r="E76" s="7" t="s">
        <v>482</v>
      </c>
      <c r="F76" s="7" t="s">
        <v>132</v>
      </c>
      <c r="G76" s="7" t="s">
        <v>133</v>
      </c>
      <c r="H76" s="7" t="s">
        <v>7</v>
      </c>
      <c r="I76" s="7" t="s">
        <v>146</v>
      </c>
      <c r="J76" s="7" t="s">
        <v>7</v>
      </c>
      <c r="K76" s="7" t="s">
        <v>147</v>
      </c>
      <c r="L76" s="7" t="s">
        <v>7</v>
      </c>
      <c r="M76" s="7" t="s">
        <v>147</v>
      </c>
      <c r="N76" s="7" t="s">
        <v>148</v>
      </c>
      <c r="O76" s="7" t="s">
        <v>136</v>
      </c>
      <c r="P76" s="7" t="s">
        <v>137</v>
      </c>
      <c r="Q76" s="7" t="s">
        <v>7</v>
      </c>
      <c r="R76" s="7" t="s">
        <v>483</v>
      </c>
      <c r="S76" s="7" t="s">
        <v>139</v>
      </c>
      <c r="T76" s="7" t="s">
        <v>150</v>
      </c>
      <c r="U76" s="8" t="str">
        <f t="shared" si="2"/>
        <v>UNIQUE</v>
      </c>
      <c r="V76" s="8" t="str">
        <f t="shared" si="3"/>
        <v>COMPLETE</v>
      </c>
    </row>
    <row r="77" spans="1:22" ht="15" customHeight="1" x14ac:dyDescent="0.3">
      <c r="A77" s="7" t="s">
        <v>484</v>
      </c>
      <c r="B77" s="7" t="s">
        <v>485</v>
      </c>
      <c r="C77" s="7" t="s">
        <v>143</v>
      </c>
      <c r="D77" s="7" t="s">
        <v>486</v>
      </c>
      <c r="E77" s="7" t="s">
        <v>487</v>
      </c>
      <c r="F77" s="7" t="s">
        <v>171</v>
      </c>
      <c r="G77" s="7" t="s">
        <v>133</v>
      </c>
      <c r="H77" s="7" t="s">
        <v>7</v>
      </c>
      <c r="I77" s="7" t="s">
        <v>155</v>
      </c>
      <c r="J77" s="7" t="s">
        <v>7</v>
      </c>
      <c r="K77" s="7" t="s">
        <v>147</v>
      </c>
      <c r="L77" s="7" t="s">
        <v>7</v>
      </c>
      <c r="M77" s="7" t="s">
        <v>147</v>
      </c>
      <c r="N77" s="7" t="s">
        <v>156</v>
      </c>
      <c r="O77" s="7" t="s">
        <v>136</v>
      </c>
      <c r="P77" s="7" t="s">
        <v>137</v>
      </c>
      <c r="Q77" s="7" t="s">
        <v>7</v>
      </c>
      <c r="R77" s="7" t="s">
        <v>488</v>
      </c>
      <c r="S77" s="7" t="s">
        <v>139</v>
      </c>
      <c r="T77" s="7" t="s">
        <v>158</v>
      </c>
      <c r="U77" s="8" t="str">
        <f t="shared" si="2"/>
        <v>UNIQUE</v>
      </c>
      <c r="V77" s="8" t="str">
        <f t="shared" si="3"/>
        <v>COMPLETE</v>
      </c>
    </row>
    <row r="78" spans="1:22" ht="15" customHeight="1" x14ac:dyDescent="0.3">
      <c r="A78" s="7" t="s">
        <v>489</v>
      </c>
      <c r="B78" s="7" t="s">
        <v>490</v>
      </c>
      <c r="C78" s="7" t="s">
        <v>143</v>
      </c>
      <c r="D78" s="7" t="s">
        <v>161</v>
      </c>
      <c r="E78" s="7" t="s">
        <v>491</v>
      </c>
      <c r="F78" s="7" t="s">
        <v>132</v>
      </c>
      <c r="G78" s="7" t="s">
        <v>172</v>
      </c>
      <c r="H78" s="7" t="s">
        <v>147</v>
      </c>
      <c r="I78" s="7" t="s">
        <v>163</v>
      </c>
      <c r="J78" s="7" t="s">
        <v>147</v>
      </c>
      <c r="K78" s="7" t="s">
        <v>147</v>
      </c>
      <c r="L78" s="7" t="s">
        <v>147</v>
      </c>
      <c r="M78" s="7" t="s">
        <v>147</v>
      </c>
      <c r="N78" s="7" t="s">
        <v>164</v>
      </c>
      <c r="O78" s="7" t="s">
        <v>136</v>
      </c>
      <c r="P78" s="7" t="s">
        <v>137</v>
      </c>
      <c r="Q78" s="7" t="s">
        <v>147</v>
      </c>
      <c r="R78" s="7" t="s">
        <v>492</v>
      </c>
      <c r="S78" s="7" t="s">
        <v>176</v>
      </c>
      <c r="T78" s="7" t="s">
        <v>166</v>
      </c>
      <c r="U78" s="8" t="str">
        <f t="shared" si="2"/>
        <v>UNIQUE</v>
      </c>
      <c r="V78" s="8" t="str">
        <f t="shared" si="3"/>
        <v>COMPLETE</v>
      </c>
    </row>
    <row r="79" spans="1:22" ht="15" customHeight="1" x14ac:dyDescent="0.3">
      <c r="A79" s="7" t="s">
        <v>493</v>
      </c>
      <c r="B79" s="7" t="s">
        <v>494</v>
      </c>
      <c r="C79" s="7" t="s">
        <v>143</v>
      </c>
      <c r="D79" s="7" t="s">
        <v>130</v>
      </c>
      <c r="E79" s="7" t="s">
        <v>495</v>
      </c>
      <c r="F79" s="7" t="s">
        <v>132</v>
      </c>
      <c r="G79" s="7" t="s">
        <v>172</v>
      </c>
      <c r="H79" s="7" t="s">
        <v>147</v>
      </c>
      <c r="I79" s="7" t="s">
        <v>173</v>
      </c>
      <c r="J79" s="7" t="s">
        <v>147</v>
      </c>
      <c r="K79" s="7" t="s">
        <v>147</v>
      </c>
      <c r="L79" s="7" t="s">
        <v>147</v>
      </c>
      <c r="M79" s="7" t="s">
        <v>147</v>
      </c>
      <c r="N79" s="7" t="s">
        <v>174</v>
      </c>
      <c r="O79" s="7" t="s">
        <v>136</v>
      </c>
      <c r="P79" s="7" t="s">
        <v>137</v>
      </c>
      <c r="Q79" s="7" t="s">
        <v>147</v>
      </c>
      <c r="R79" s="7" t="s">
        <v>496</v>
      </c>
      <c r="S79" s="7" t="s">
        <v>176</v>
      </c>
      <c r="T79" s="7" t="s">
        <v>177</v>
      </c>
      <c r="U79" s="8" t="str">
        <f t="shared" si="2"/>
        <v>UNIQUE</v>
      </c>
      <c r="V79" s="8" t="str">
        <f t="shared" si="3"/>
        <v>COMPLETE</v>
      </c>
    </row>
    <row r="80" spans="1:22" ht="15" customHeight="1" x14ac:dyDescent="0.3">
      <c r="A80" s="7" t="s">
        <v>497</v>
      </c>
      <c r="B80" s="7" t="s">
        <v>498</v>
      </c>
      <c r="C80" s="7" t="s">
        <v>143</v>
      </c>
      <c r="D80" s="7" t="s">
        <v>153</v>
      </c>
      <c r="E80" s="7" t="s">
        <v>499</v>
      </c>
      <c r="F80" s="7" t="s">
        <v>181</v>
      </c>
      <c r="G80" s="7" t="s">
        <v>172</v>
      </c>
      <c r="H80" s="7" t="s">
        <v>7</v>
      </c>
      <c r="I80" s="7" t="s">
        <v>182</v>
      </c>
      <c r="J80" s="7" t="s">
        <v>147</v>
      </c>
      <c r="K80" s="7" t="s">
        <v>147</v>
      </c>
      <c r="L80" s="7" t="s">
        <v>147</v>
      </c>
      <c r="M80" s="7" t="s">
        <v>147</v>
      </c>
      <c r="N80" s="7" t="s">
        <v>183</v>
      </c>
      <c r="O80" s="7" t="s">
        <v>136</v>
      </c>
      <c r="P80" s="7" t="s">
        <v>137</v>
      </c>
      <c r="Q80" s="7" t="s">
        <v>147</v>
      </c>
      <c r="R80" s="7" t="s">
        <v>500</v>
      </c>
      <c r="S80" s="7" t="s">
        <v>139</v>
      </c>
      <c r="T80" s="7" t="s">
        <v>185</v>
      </c>
      <c r="U80" s="8" t="str">
        <f t="shared" si="2"/>
        <v>UNIQUE</v>
      </c>
      <c r="V80" s="8" t="str">
        <f t="shared" si="3"/>
        <v>COMPLETE</v>
      </c>
    </row>
    <row r="81" spans="1:22" ht="15" customHeight="1" x14ac:dyDescent="0.3">
      <c r="A81" s="7" t="s">
        <v>501</v>
      </c>
      <c r="B81" s="7" t="s">
        <v>502</v>
      </c>
      <c r="C81" s="7" t="s">
        <v>143</v>
      </c>
      <c r="D81" s="7" t="s">
        <v>259</v>
      </c>
      <c r="E81" s="7" t="s">
        <v>503</v>
      </c>
      <c r="F81" s="7" t="s">
        <v>132</v>
      </c>
      <c r="G81" s="7" t="s">
        <v>172</v>
      </c>
      <c r="H81" s="7" t="s">
        <v>147</v>
      </c>
      <c r="I81" s="7" t="s">
        <v>190</v>
      </c>
      <c r="J81" s="7" t="s">
        <v>147</v>
      </c>
      <c r="K81" s="7" t="s">
        <v>147</v>
      </c>
      <c r="L81" s="7" t="s">
        <v>147</v>
      </c>
      <c r="M81" s="7" t="s">
        <v>147</v>
      </c>
      <c r="N81" s="7" t="s">
        <v>191</v>
      </c>
      <c r="O81" s="7" t="s">
        <v>136</v>
      </c>
      <c r="P81" s="7" t="s">
        <v>137</v>
      </c>
      <c r="Q81" s="7" t="s">
        <v>147</v>
      </c>
      <c r="R81" s="7" t="s">
        <v>504</v>
      </c>
      <c r="S81" s="7" t="s">
        <v>176</v>
      </c>
      <c r="T81" s="7" t="s">
        <v>193</v>
      </c>
      <c r="U81" s="8" t="str">
        <f t="shared" si="2"/>
        <v>UNIQUE</v>
      </c>
      <c r="V81" s="8" t="str">
        <f t="shared" si="3"/>
        <v>COMPLETE</v>
      </c>
    </row>
    <row r="82" spans="1:22" ht="15" customHeight="1" x14ac:dyDescent="0.3">
      <c r="A82" s="7" t="s">
        <v>505</v>
      </c>
      <c r="B82" s="7" t="s">
        <v>506</v>
      </c>
      <c r="C82" s="7" t="s">
        <v>143</v>
      </c>
      <c r="D82" s="7" t="s">
        <v>130</v>
      </c>
      <c r="E82" s="7" t="s">
        <v>507</v>
      </c>
      <c r="F82" s="7" t="s">
        <v>132</v>
      </c>
      <c r="G82" s="7" t="s">
        <v>172</v>
      </c>
      <c r="H82" s="7" t="s">
        <v>147</v>
      </c>
      <c r="I82" s="7" t="s">
        <v>197</v>
      </c>
      <c r="J82" s="7" t="s">
        <v>147</v>
      </c>
      <c r="K82" s="7" t="s">
        <v>147</v>
      </c>
      <c r="L82" s="7" t="s">
        <v>147</v>
      </c>
      <c r="M82" s="7" t="s">
        <v>147</v>
      </c>
      <c r="N82" s="7" t="s">
        <v>198</v>
      </c>
      <c r="O82" s="7" t="s">
        <v>136</v>
      </c>
      <c r="P82" s="7" t="s">
        <v>137</v>
      </c>
      <c r="Q82" s="7" t="s">
        <v>147</v>
      </c>
      <c r="R82" s="7" t="s">
        <v>508</v>
      </c>
      <c r="S82" s="7" t="s">
        <v>176</v>
      </c>
      <c r="T82" s="7" t="s">
        <v>200</v>
      </c>
      <c r="U82" s="8" t="str">
        <f t="shared" si="2"/>
        <v>UNIQUE</v>
      </c>
      <c r="V82" s="8" t="str">
        <f t="shared" si="3"/>
        <v>COMPLETE</v>
      </c>
    </row>
    <row r="83" spans="1:22" ht="15" customHeight="1" x14ac:dyDescent="0.3">
      <c r="A83" s="7" t="s">
        <v>509</v>
      </c>
      <c r="B83" s="7" t="s">
        <v>510</v>
      </c>
      <c r="C83" s="7" t="s">
        <v>143</v>
      </c>
      <c r="D83" s="7" t="s">
        <v>169</v>
      </c>
      <c r="E83" s="7" t="s">
        <v>511</v>
      </c>
      <c r="F83" s="7" t="s">
        <v>171</v>
      </c>
      <c r="G83" s="7" t="s">
        <v>172</v>
      </c>
      <c r="H83" s="7" t="s">
        <v>147</v>
      </c>
      <c r="I83" s="7" t="s">
        <v>205</v>
      </c>
      <c r="J83" s="7" t="s">
        <v>147</v>
      </c>
      <c r="K83" s="7" t="s">
        <v>147</v>
      </c>
      <c r="L83" s="7" t="s">
        <v>147</v>
      </c>
      <c r="M83" s="7" t="s">
        <v>147</v>
      </c>
      <c r="N83" s="7" t="s">
        <v>206</v>
      </c>
      <c r="O83" s="7" t="s">
        <v>136</v>
      </c>
      <c r="P83" s="7" t="s">
        <v>137</v>
      </c>
      <c r="Q83" s="7" t="s">
        <v>147</v>
      </c>
      <c r="R83" s="7" t="s">
        <v>512</v>
      </c>
      <c r="S83" s="7" t="s">
        <v>176</v>
      </c>
      <c r="T83" s="7" t="s">
        <v>208</v>
      </c>
      <c r="U83" s="8" t="str">
        <f t="shared" si="2"/>
        <v>UNIQUE</v>
      </c>
      <c r="V83" s="8" t="str">
        <f t="shared" si="3"/>
        <v>COMPLETE</v>
      </c>
    </row>
    <row r="84" spans="1:22" ht="15" customHeight="1" x14ac:dyDescent="0.3">
      <c r="A84" s="7" t="s">
        <v>513</v>
      </c>
      <c r="B84" s="7" t="s">
        <v>514</v>
      </c>
      <c r="C84" s="7" t="s">
        <v>143</v>
      </c>
      <c r="D84" s="7" t="s">
        <v>515</v>
      </c>
      <c r="E84" s="7" t="s">
        <v>516</v>
      </c>
      <c r="F84" s="7" t="s">
        <v>181</v>
      </c>
      <c r="G84" s="7" t="s">
        <v>172</v>
      </c>
      <c r="H84" s="7" t="s">
        <v>7</v>
      </c>
      <c r="I84" s="7" t="s">
        <v>213</v>
      </c>
      <c r="J84" s="7" t="s">
        <v>147</v>
      </c>
      <c r="K84" s="7" t="s">
        <v>147</v>
      </c>
      <c r="L84" s="7" t="s">
        <v>147</v>
      </c>
      <c r="M84" s="7" t="s">
        <v>147</v>
      </c>
      <c r="N84" s="7" t="s">
        <v>214</v>
      </c>
      <c r="O84" s="7" t="s">
        <v>136</v>
      </c>
      <c r="P84" s="7" t="s">
        <v>137</v>
      </c>
      <c r="Q84" s="7" t="s">
        <v>147</v>
      </c>
      <c r="R84" s="7" t="s">
        <v>517</v>
      </c>
      <c r="S84" s="7" t="s">
        <v>139</v>
      </c>
      <c r="T84" s="7" t="s">
        <v>216</v>
      </c>
      <c r="U84" s="8" t="str">
        <f t="shared" si="2"/>
        <v>UNIQUE</v>
      </c>
      <c r="V84" s="8" t="str">
        <f t="shared" si="3"/>
        <v>COMPLETE</v>
      </c>
    </row>
    <row r="85" spans="1:22" ht="15" customHeight="1" x14ac:dyDescent="0.3">
      <c r="A85" s="7" t="s">
        <v>518</v>
      </c>
      <c r="B85" s="7" t="s">
        <v>519</v>
      </c>
      <c r="C85" s="7" t="s">
        <v>143</v>
      </c>
      <c r="D85" s="7" t="s">
        <v>161</v>
      </c>
      <c r="E85" s="7" t="s">
        <v>520</v>
      </c>
      <c r="F85" s="7" t="s">
        <v>132</v>
      </c>
      <c r="G85" s="7" t="s">
        <v>172</v>
      </c>
      <c r="H85" s="7" t="s">
        <v>147</v>
      </c>
      <c r="I85" s="7" t="s">
        <v>220</v>
      </c>
      <c r="J85" s="7" t="s">
        <v>147</v>
      </c>
      <c r="K85" s="7" t="s">
        <v>147</v>
      </c>
      <c r="L85" s="7" t="s">
        <v>147</v>
      </c>
      <c r="M85" s="7" t="s">
        <v>147</v>
      </c>
      <c r="N85" s="7" t="s">
        <v>221</v>
      </c>
      <c r="O85" s="7" t="s">
        <v>136</v>
      </c>
      <c r="P85" s="7" t="s">
        <v>137</v>
      </c>
      <c r="Q85" s="7" t="s">
        <v>147</v>
      </c>
      <c r="R85" s="7" t="s">
        <v>521</v>
      </c>
      <c r="S85" s="7" t="s">
        <v>176</v>
      </c>
      <c r="T85" s="7" t="s">
        <v>223</v>
      </c>
      <c r="U85" s="8" t="str">
        <f t="shared" si="2"/>
        <v>UNIQUE</v>
      </c>
      <c r="V85" s="8" t="str">
        <f t="shared" si="3"/>
        <v>COMPLETE</v>
      </c>
    </row>
    <row r="86" spans="1:22" ht="15" customHeight="1" x14ac:dyDescent="0.3">
      <c r="A86" s="7" t="s">
        <v>522</v>
      </c>
      <c r="B86" s="7" t="s">
        <v>523</v>
      </c>
      <c r="C86" s="7" t="s">
        <v>143</v>
      </c>
      <c r="D86" s="7" t="s">
        <v>130</v>
      </c>
      <c r="E86" s="7" t="s">
        <v>524</v>
      </c>
      <c r="F86" s="7" t="s">
        <v>171</v>
      </c>
      <c r="G86" s="7" t="s">
        <v>172</v>
      </c>
      <c r="H86" s="7" t="s">
        <v>147</v>
      </c>
      <c r="I86" s="7" t="s">
        <v>227</v>
      </c>
      <c r="J86" s="7" t="s">
        <v>147</v>
      </c>
      <c r="K86" s="7" t="s">
        <v>147</v>
      </c>
      <c r="L86" s="7" t="s">
        <v>147</v>
      </c>
      <c r="M86" s="7" t="s">
        <v>147</v>
      </c>
      <c r="N86" s="7" t="s">
        <v>228</v>
      </c>
      <c r="O86" s="7" t="s">
        <v>136</v>
      </c>
      <c r="P86" s="7" t="s">
        <v>137</v>
      </c>
      <c r="Q86" s="7" t="s">
        <v>147</v>
      </c>
      <c r="R86" s="7" t="s">
        <v>525</v>
      </c>
      <c r="S86" s="7" t="s">
        <v>176</v>
      </c>
      <c r="T86" s="7" t="s">
        <v>230</v>
      </c>
      <c r="U86" s="8" t="str">
        <f t="shared" si="2"/>
        <v>UNIQUE</v>
      </c>
      <c r="V86" s="8" t="str">
        <f t="shared" si="3"/>
        <v>COMPLETE</v>
      </c>
    </row>
    <row r="87" spans="1:22" ht="15" customHeight="1" x14ac:dyDescent="0.3">
      <c r="A87" s="7" t="s">
        <v>526</v>
      </c>
      <c r="B87" s="7" t="s">
        <v>527</v>
      </c>
      <c r="C87" s="7" t="s">
        <v>143</v>
      </c>
      <c r="D87" s="7" t="s">
        <v>153</v>
      </c>
      <c r="E87" s="7" t="s">
        <v>528</v>
      </c>
      <c r="F87" s="7" t="s">
        <v>181</v>
      </c>
      <c r="G87" s="7" t="s">
        <v>172</v>
      </c>
      <c r="H87" s="7" t="s">
        <v>147</v>
      </c>
      <c r="I87" s="7" t="s">
        <v>234</v>
      </c>
      <c r="J87" s="7" t="s">
        <v>147</v>
      </c>
      <c r="K87" s="7" t="s">
        <v>147</v>
      </c>
      <c r="L87" s="7" t="s">
        <v>147</v>
      </c>
      <c r="M87" s="7" t="s">
        <v>147</v>
      </c>
      <c r="N87" s="7" t="s">
        <v>235</v>
      </c>
      <c r="O87" s="7" t="s">
        <v>136</v>
      </c>
      <c r="P87" s="7" t="s">
        <v>137</v>
      </c>
      <c r="Q87" s="7" t="s">
        <v>147</v>
      </c>
      <c r="R87" s="7" t="s">
        <v>529</v>
      </c>
      <c r="S87" s="7" t="s">
        <v>176</v>
      </c>
      <c r="T87" s="7" t="s">
        <v>237</v>
      </c>
      <c r="U87" s="8" t="str">
        <f t="shared" si="2"/>
        <v>UNIQUE</v>
      </c>
      <c r="V87" s="8" t="str">
        <f t="shared" si="3"/>
        <v>COMPLETE</v>
      </c>
    </row>
    <row r="88" spans="1:22" ht="15" customHeight="1" x14ac:dyDescent="0.3">
      <c r="A88" s="7" t="s">
        <v>530</v>
      </c>
      <c r="B88" s="7" t="s">
        <v>531</v>
      </c>
      <c r="C88" s="7" t="s">
        <v>143</v>
      </c>
      <c r="D88" s="7" t="s">
        <v>532</v>
      </c>
      <c r="E88" s="7" t="s">
        <v>533</v>
      </c>
      <c r="F88" s="7" t="s">
        <v>132</v>
      </c>
      <c r="G88" s="7" t="s">
        <v>172</v>
      </c>
      <c r="H88" s="7" t="s">
        <v>7</v>
      </c>
      <c r="I88" s="7" t="s">
        <v>241</v>
      </c>
      <c r="J88" s="7" t="s">
        <v>147</v>
      </c>
      <c r="K88" s="7" t="s">
        <v>147</v>
      </c>
      <c r="L88" s="7" t="s">
        <v>147</v>
      </c>
      <c r="M88" s="7" t="s">
        <v>147</v>
      </c>
      <c r="N88" s="7" t="s">
        <v>242</v>
      </c>
      <c r="O88" s="7" t="s">
        <v>136</v>
      </c>
      <c r="P88" s="7" t="s">
        <v>137</v>
      </c>
      <c r="Q88" s="7" t="s">
        <v>147</v>
      </c>
      <c r="R88" s="7" t="s">
        <v>534</v>
      </c>
      <c r="S88" s="7" t="s">
        <v>139</v>
      </c>
      <c r="T88" s="7" t="s">
        <v>244</v>
      </c>
      <c r="U88" s="8" t="str">
        <f t="shared" si="2"/>
        <v>UNIQUE</v>
      </c>
      <c r="V88" s="8" t="str">
        <f t="shared" si="3"/>
        <v>COMPLETE</v>
      </c>
    </row>
    <row r="89" spans="1:22" ht="15" customHeight="1" x14ac:dyDescent="0.3">
      <c r="A89" s="7" t="s">
        <v>535</v>
      </c>
      <c r="B89" s="7" t="s">
        <v>536</v>
      </c>
      <c r="C89" s="7" t="s">
        <v>143</v>
      </c>
      <c r="D89" s="7" t="s">
        <v>130</v>
      </c>
      <c r="E89" s="7" t="s">
        <v>537</v>
      </c>
      <c r="F89" s="7" t="s">
        <v>132</v>
      </c>
      <c r="G89" s="7" t="s">
        <v>172</v>
      </c>
      <c r="H89" s="7" t="s">
        <v>147</v>
      </c>
      <c r="I89" s="7" t="s">
        <v>134</v>
      </c>
      <c r="J89" s="7" t="s">
        <v>147</v>
      </c>
      <c r="K89" s="7" t="s">
        <v>147</v>
      </c>
      <c r="L89" s="7" t="s">
        <v>147</v>
      </c>
      <c r="M89" s="7" t="s">
        <v>147</v>
      </c>
      <c r="N89" s="7" t="s">
        <v>135</v>
      </c>
      <c r="O89" s="7" t="s">
        <v>136</v>
      </c>
      <c r="P89" s="7" t="s">
        <v>137</v>
      </c>
      <c r="Q89" s="7" t="s">
        <v>147</v>
      </c>
      <c r="R89" s="7" t="s">
        <v>538</v>
      </c>
      <c r="S89" s="7" t="s">
        <v>176</v>
      </c>
      <c r="T89" s="7" t="s">
        <v>140</v>
      </c>
      <c r="U89" s="8" t="str">
        <f t="shared" si="2"/>
        <v>UNIQUE</v>
      </c>
      <c r="V89" s="8" t="str">
        <f t="shared" si="3"/>
        <v>COMPLETE</v>
      </c>
    </row>
    <row r="90" spans="1:22" ht="15" customHeight="1" x14ac:dyDescent="0.3">
      <c r="A90" s="7" t="s">
        <v>539</v>
      </c>
      <c r="B90" s="7" t="s">
        <v>540</v>
      </c>
      <c r="C90" s="7" t="s">
        <v>129</v>
      </c>
      <c r="D90" s="7" t="s">
        <v>130</v>
      </c>
      <c r="E90" s="7" t="s">
        <v>541</v>
      </c>
      <c r="F90" s="7" t="s">
        <v>132</v>
      </c>
      <c r="G90" s="7" t="s">
        <v>172</v>
      </c>
      <c r="H90" s="7" t="s">
        <v>147</v>
      </c>
      <c r="I90" s="7" t="s">
        <v>146</v>
      </c>
      <c r="J90" s="7" t="s">
        <v>147</v>
      </c>
      <c r="K90" s="7" t="s">
        <v>147</v>
      </c>
      <c r="L90" s="7" t="s">
        <v>147</v>
      </c>
      <c r="M90" s="7" t="s">
        <v>147</v>
      </c>
      <c r="N90" s="7" t="s">
        <v>148</v>
      </c>
      <c r="O90" s="7" t="s">
        <v>136</v>
      </c>
      <c r="P90" s="7" t="s">
        <v>137</v>
      </c>
      <c r="Q90" s="7" t="s">
        <v>147</v>
      </c>
      <c r="R90" s="7" t="s">
        <v>542</v>
      </c>
      <c r="S90" s="7" t="s">
        <v>176</v>
      </c>
      <c r="T90" s="7" t="s">
        <v>150</v>
      </c>
      <c r="U90" s="8" t="str">
        <f t="shared" si="2"/>
        <v>UNIQUE</v>
      </c>
      <c r="V90" s="8" t="str">
        <f t="shared" si="3"/>
        <v>COMPLETE</v>
      </c>
    </row>
    <row r="91" spans="1:22" ht="15" customHeight="1" x14ac:dyDescent="0.3">
      <c r="A91" s="7" t="s">
        <v>543</v>
      </c>
      <c r="B91" s="7" t="s">
        <v>544</v>
      </c>
      <c r="C91" s="7" t="s">
        <v>129</v>
      </c>
      <c r="D91" s="7" t="s">
        <v>545</v>
      </c>
      <c r="E91" s="7" t="s">
        <v>546</v>
      </c>
      <c r="F91" s="7" t="s">
        <v>132</v>
      </c>
      <c r="G91" s="7" t="s">
        <v>172</v>
      </c>
      <c r="H91" s="7" t="s">
        <v>147</v>
      </c>
      <c r="I91" s="7" t="s">
        <v>155</v>
      </c>
      <c r="J91" s="7" t="s">
        <v>147</v>
      </c>
      <c r="K91" s="7" t="s">
        <v>147</v>
      </c>
      <c r="L91" s="7" t="s">
        <v>147</v>
      </c>
      <c r="M91" s="7" t="s">
        <v>147</v>
      </c>
      <c r="N91" s="7" t="s">
        <v>156</v>
      </c>
      <c r="O91" s="7" t="s">
        <v>136</v>
      </c>
      <c r="P91" s="7" t="s">
        <v>137</v>
      </c>
      <c r="Q91" s="7" t="s">
        <v>147</v>
      </c>
      <c r="R91" s="7" t="s">
        <v>547</v>
      </c>
      <c r="S91" s="7" t="s">
        <v>176</v>
      </c>
      <c r="T91" s="7" t="s">
        <v>158</v>
      </c>
      <c r="U91" s="8" t="str">
        <f t="shared" si="2"/>
        <v>UNIQUE</v>
      </c>
      <c r="V91" s="8" t="str">
        <f t="shared" si="3"/>
        <v>COMPLETE</v>
      </c>
    </row>
    <row r="92" spans="1:22" ht="15" customHeight="1" x14ac:dyDescent="0.3">
      <c r="A92" s="7" t="s">
        <v>548</v>
      </c>
      <c r="B92" s="7" t="s">
        <v>549</v>
      </c>
      <c r="C92" s="7" t="s">
        <v>129</v>
      </c>
      <c r="D92" s="7" t="s">
        <v>550</v>
      </c>
      <c r="E92" s="7" t="s">
        <v>551</v>
      </c>
      <c r="F92" s="7" t="s">
        <v>132</v>
      </c>
      <c r="G92" s="7" t="s">
        <v>172</v>
      </c>
      <c r="H92" s="7" t="s">
        <v>7</v>
      </c>
      <c r="I92" s="7" t="s">
        <v>163</v>
      </c>
      <c r="J92" s="7" t="s">
        <v>147</v>
      </c>
      <c r="K92" s="7" t="s">
        <v>147</v>
      </c>
      <c r="L92" s="7" t="s">
        <v>147</v>
      </c>
      <c r="M92" s="7" t="s">
        <v>147</v>
      </c>
      <c r="N92" s="7" t="s">
        <v>164</v>
      </c>
      <c r="O92" s="7" t="s">
        <v>136</v>
      </c>
      <c r="P92" s="7" t="s">
        <v>137</v>
      </c>
      <c r="Q92" s="7" t="s">
        <v>147</v>
      </c>
      <c r="R92" s="7" t="s">
        <v>552</v>
      </c>
      <c r="S92" s="7" t="s">
        <v>139</v>
      </c>
      <c r="T92" s="7" t="s">
        <v>166</v>
      </c>
      <c r="U92" s="8" t="str">
        <f t="shared" si="2"/>
        <v>UNIQUE</v>
      </c>
      <c r="V92" s="8" t="str">
        <f t="shared" si="3"/>
        <v>COMPLETE</v>
      </c>
    </row>
    <row r="93" spans="1:22" ht="15" customHeight="1" x14ac:dyDescent="0.3">
      <c r="A93" s="7" t="s">
        <v>553</v>
      </c>
      <c r="B93" s="7" t="s">
        <v>554</v>
      </c>
      <c r="C93" s="7" t="s">
        <v>129</v>
      </c>
      <c r="D93" s="7" t="s">
        <v>555</v>
      </c>
      <c r="E93" s="7" t="s">
        <v>556</v>
      </c>
      <c r="F93" s="7" t="s">
        <v>132</v>
      </c>
      <c r="G93" s="7" t="s">
        <v>172</v>
      </c>
      <c r="H93" s="7" t="s">
        <v>147</v>
      </c>
      <c r="I93" s="7" t="s">
        <v>173</v>
      </c>
      <c r="J93" s="7" t="s">
        <v>147</v>
      </c>
      <c r="K93" s="7" t="s">
        <v>147</v>
      </c>
      <c r="L93" s="7" t="s">
        <v>147</v>
      </c>
      <c r="M93" s="7" t="s">
        <v>147</v>
      </c>
      <c r="N93" s="7" t="s">
        <v>174</v>
      </c>
      <c r="O93" s="7" t="s">
        <v>136</v>
      </c>
      <c r="P93" s="7" t="s">
        <v>137</v>
      </c>
      <c r="Q93" s="7" t="s">
        <v>147</v>
      </c>
      <c r="R93" s="7" t="s">
        <v>557</v>
      </c>
      <c r="S93" s="7" t="s">
        <v>176</v>
      </c>
      <c r="T93" s="7" t="s">
        <v>177</v>
      </c>
      <c r="U93" s="8" t="str">
        <f t="shared" si="2"/>
        <v>UNIQUE</v>
      </c>
      <c r="V93" s="8" t="str">
        <f t="shared" si="3"/>
        <v>COMPLETE</v>
      </c>
    </row>
    <row r="94" spans="1:22" ht="15" customHeight="1" x14ac:dyDescent="0.3">
      <c r="A94" s="7" t="s">
        <v>558</v>
      </c>
      <c r="B94" s="7" t="s">
        <v>559</v>
      </c>
      <c r="C94" s="7" t="s">
        <v>129</v>
      </c>
      <c r="D94" s="7" t="s">
        <v>560</v>
      </c>
      <c r="E94" s="7" t="s">
        <v>561</v>
      </c>
      <c r="F94" s="7" t="s">
        <v>171</v>
      </c>
      <c r="G94" s="7" t="s">
        <v>172</v>
      </c>
      <c r="H94" s="7" t="s">
        <v>147</v>
      </c>
      <c r="I94" s="7" t="s">
        <v>182</v>
      </c>
      <c r="J94" s="7" t="s">
        <v>147</v>
      </c>
      <c r="K94" s="7" t="s">
        <v>147</v>
      </c>
      <c r="L94" s="7" t="s">
        <v>147</v>
      </c>
      <c r="M94" s="7" t="s">
        <v>147</v>
      </c>
      <c r="N94" s="7" t="s">
        <v>183</v>
      </c>
      <c r="O94" s="7" t="s">
        <v>136</v>
      </c>
      <c r="P94" s="7" t="s">
        <v>137</v>
      </c>
      <c r="Q94" s="7" t="s">
        <v>147</v>
      </c>
      <c r="R94" s="7" t="s">
        <v>562</v>
      </c>
      <c r="S94" s="7" t="s">
        <v>176</v>
      </c>
      <c r="T94" s="7" t="s">
        <v>185</v>
      </c>
      <c r="U94" s="8" t="str">
        <f t="shared" si="2"/>
        <v>UNIQUE</v>
      </c>
      <c r="V94" s="8" t="str">
        <f t="shared" si="3"/>
        <v>COMPLETE</v>
      </c>
    </row>
    <row r="95" spans="1:22" ht="15" customHeight="1" x14ac:dyDescent="0.3">
      <c r="A95" s="7" t="s">
        <v>563</v>
      </c>
      <c r="B95" s="7" t="s">
        <v>564</v>
      </c>
      <c r="C95" s="7" t="s">
        <v>129</v>
      </c>
      <c r="D95" s="7" t="s">
        <v>565</v>
      </c>
      <c r="E95" s="7" t="s">
        <v>566</v>
      </c>
      <c r="F95" s="7" t="s">
        <v>132</v>
      </c>
      <c r="G95" s="7" t="s">
        <v>172</v>
      </c>
      <c r="H95" s="7" t="s">
        <v>147</v>
      </c>
      <c r="I95" s="7" t="s">
        <v>190</v>
      </c>
      <c r="J95" s="7" t="s">
        <v>147</v>
      </c>
      <c r="K95" s="7" t="s">
        <v>147</v>
      </c>
      <c r="L95" s="7" t="s">
        <v>147</v>
      </c>
      <c r="M95" s="7" t="s">
        <v>147</v>
      </c>
      <c r="N95" s="7" t="s">
        <v>191</v>
      </c>
      <c r="O95" s="7" t="s">
        <v>136</v>
      </c>
      <c r="P95" s="7" t="s">
        <v>137</v>
      </c>
      <c r="Q95" s="7" t="s">
        <v>147</v>
      </c>
      <c r="R95" s="7" t="s">
        <v>567</v>
      </c>
      <c r="S95" s="7" t="s">
        <v>176</v>
      </c>
      <c r="T95" s="7" t="s">
        <v>193</v>
      </c>
      <c r="U95" s="8" t="str">
        <f t="shared" si="2"/>
        <v>UNIQUE</v>
      </c>
      <c r="V95" s="8" t="str">
        <f t="shared" si="3"/>
        <v>COMPLETE</v>
      </c>
    </row>
    <row r="96" spans="1:22" ht="15" customHeight="1" x14ac:dyDescent="0.3">
      <c r="A96" s="7" t="s">
        <v>568</v>
      </c>
      <c r="B96" s="7" t="s">
        <v>569</v>
      </c>
      <c r="C96" s="7" t="s">
        <v>129</v>
      </c>
      <c r="D96" s="7" t="s">
        <v>570</v>
      </c>
      <c r="E96" s="7" t="s">
        <v>571</v>
      </c>
      <c r="F96" s="7" t="s">
        <v>132</v>
      </c>
      <c r="G96" s="7" t="s">
        <v>172</v>
      </c>
      <c r="H96" s="7" t="s">
        <v>7</v>
      </c>
      <c r="I96" s="7" t="s">
        <v>197</v>
      </c>
      <c r="J96" s="7" t="s">
        <v>147</v>
      </c>
      <c r="K96" s="7" t="s">
        <v>147</v>
      </c>
      <c r="L96" s="7" t="s">
        <v>147</v>
      </c>
      <c r="M96" s="7" t="s">
        <v>147</v>
      </c>
      <c r="N96" s="7" t="s">
        <v>198</v>
      </c>
      <c r="O96" s="7" t="s">
        <v>136</v>
      </c>
      <c r="P96" s="7" t="s">
        <v>137</v>
      </c>
      <c r="Q96" s="7" t="s">
        <v>147</v>
      </c>
      <c r="R96" s="7" t="s">
        <v>572</v>
      </c>
      <c r="S96" s="7" t="s">
        <v>139</v>
      </c>
      <c r="T96" s="7" t="s">
        <v>200</v>
      </c>
      <c r="U96" s="8" t="str">
        <f t="shared" si="2"/>
        <v>UNIQUE</v>
      </c>
      <c r="V96" s="8" t="str">
        <f t="shared" si="3"/>
        <v>COMPLETE</v>
      </c>
    </row>
    <row r="97" spans="1:22" ht="15" customHeight="1" x14ac:dyDescent="0.3">
      <c r="A97" s="7" t="s">
        <v>573</v>
      </c>
      <c r="B97" s="7" t="s">
        <v>574</v>
      </c>
      <c r="C97" s="7" t="s">
        <v>129</v>
      </c>
      <c r="D97" s="7" t="s">
        <v>575</v>
      </c>
      <c r="E97" s="7" t="s">
        <v>576</v>
      </c>
      <c r="F97" s="7" t="s">
        <v>132</v>
      </c>
      <c r="G97" s="7" t="s">
        <v>172</v>
      </c>
      <c r="H97" s="7" t="s">
        <v>147</v>
      </c>
      <c r="I97" s="7" t="s">
        <v>205</v>
      </c>
      <c r="J97" s="7" t="s">
        <v>147</v>
      </c>
      <c r="K97" s="7" t="s">
        <v>147</v>
      </c>
      <c r="L97" s="7" t="s">
        <v>147</v>
      </c>
      <c r="M97" s="7" t="s">
        <v>147</v>
      </c>
      <c r="N97" s="7" t="s">
        <v>206</v>
      </c>
      <c r="O97" s="7" t="s">
        <v>136</v>
      </c>
      <c r="P97" s="7" t="s">
        <v>137</v>
      </c>
      <c r="Q97" s="7" t="s">
        <v>147</v>
      </c>
      <c r="R97" s="7" t="s">
        <v>577</v>
      </c>
      <c r="S97" s="7" t="s">
        <v>176</v>
      </c>
      <c r="T97" s="7" t="s">
        <v>208</v>
      </c>
      <c r="U97" s="8" t="str">
        <f t="shared" si="2"/>
        <v>UNIQUE</v>
      </c>
      <c r="V97" s="8" t="str">
        <f t="shared" si="3"/>
        <v>COMPLETE</v>
      </c>
    </row>
    <row r="98" spans="1:22" ht="15" customHeight="1" x14ac:dyDescent="0.3">
      <c r="A98" s="7" t="s">
        <v>578</v>
      </c>
      <c r="B98" s="7" t="s">
        <v>579</v>
      </c>
      <c r="C98" s="7" t="s">
        <v>129</v>
      </c>
      <c r="D98" s="7" t="s">
        <v>169</v>
      </c>
      <c r="E98" s="7" t="s">
        <v>580</v>
      </c>
      <c r="F98" s="7" t="s">
        <v>171</v>
      </c>
      <c r="G98" s="7" t="s">
        <v>172</v>
      </c>
      <c r="H98" s="7" t="s">
        <v>147</v>
      </c>
      <c r="I98" s="7" t="s">
        <v>213</v>
      </c>
      <c r="J98" s="7" t="s">
        <v>147</v>
      </c>
      <c r="K98" s="7" t="s">
        <v>147</v>
      </c>
      <c r="L98" s="7" t="s">
        <v>147</v>
      </c>
      <c r="M98" s="7" t="s">
        <v>147</v>
      </c>
      <c r="N98" s="7" t="s">
        <v>214</v>
      </c>
      <c r="O98" s="7" t="s">
        <v>136</v>
      </c>
      <c r="P98" s="7" t="s">
        <v>137</v>
      </c>
      <c r="Q98" s="7" t="s">
        <v>147</v>
      </c>
      <c r="R98" s="7" t="s">
        <v>581</v>
      </c>
      <c r="S98" s="7" t="s">
        <v>176</v>
      </c>
      <c r="T98" s="7" t="s">
        <v>216</v>
      </c>
      <c r="U98" s="8" t="str">
        <f t="shared" si="2"/>
        <v>UNIQUE</v>
      </c>
      <c r="V98" s="8" t="str">
        <f t="shared" si="3"/>
        <v>COMPLETE</v>
      </c>
    </row>
    <row r="99" spans="1:22" ht="15" customHeight="1" x14ac:dyDescent="0.3">
      <c r="A99" s="7" t="s">
        <v>582</v>
      </c>
      <c r="B99" s="7" t="s">
        <v>583</v>
      </c>
      <c r="C99" s="7" t="s">
        <v>129</v>
      </c>
      <c r="D99" s="7" t="s">
        <v>584</v>
      </c>
      <c r="E99" s="7" t="s">
        <v>585</v>
      </c>
      <c r="F99" s="7" t="s">
        <v>132</v>
      </c>
      <c r="G99" s="7" t="s">
        <v>172</v>
      </c>
      <c r="H99" s="7" t="s">
        <v>147</v>
      </c>
      <c r="I99" s="7" t="s">
        <v>220</v>
      </c>
      <c r="J99" s="7" t="s">
        <v>147</v>
      </c>
      <c r="K99" s="7" t="s">
        <v>147</v>
      </c>
      <c r="L99" s="7" t="s">
        <v>147</v>
      </c>
      <c r="M99" s="7" t="s">
        <v>147</v>
      </c>
      <c r="N99" s="7" t="s">
        <v>221</v>
      </c>
      <c r="O99" s="7" t="s">
        <v>136</v>
      </c>
      <c r="P99" s="7" t="s">
        <v>137</v>
      </c>
      <c r="Q99" s="7" t="s">
        <v>147</v>
      </c>
      <c r="R99" s="7" t="s">
        <v>586</v>
      </c>
      <c r="S99" s="7" t="s">
        <v>176</v>
      </c>
      <c r="T99" s="7" t="s">
        <v>223</v>
      </c>
      <c r="U99" s="8" t="str">
        <f t="shared" si="2"/>
        <v>UNIQUE</v>
      </c>
      <c r="V99" s="8" t="str">
        <f t="shared" si="3"/>
        <v>COMPLETE</v>
      </c>
    </row>
    <row r="100" spans="1:22" ht="15" customHeight="1" x14ac:dyDescent="0.3">
      <c r="A100" s="7" t="s">
        <v>587</v>
      </c>
      <c r="B100" s="7" t="s">
        <v>588</v>
      </c>
      <c r="C100" s="7" t="s">
        <v>129</v>
      </c>
      <c r="D100" s="7" t="s">
        <v>589</v>
      </c>
      <c r="E100" s="7" t="s">
        <v>590</v>
      </c>
      <c r="F100" s="7" t="s">
        <v>132</v>
      </c>
      <c r="G100" s="7" t="s">
        <v>172</v>
      </c>
      <c r="H100" s="7" t="s">
        <v>7</v>
      </c>
      <c r="I100" s="7" t="s">
        <v>227</v>
      </c>
      <c r="J100" s="7" t="s">
        <v>147</v>
      </c>
      <c r="K100" s="7" t="s">
        <v>147</v>
      </c>
      <c r="L100" s="7" t="s">
        <v>147</v>
      </c>
      <c r="M100" s="7" t="s">
        <v>147</v>
      </c>
      <c r="N100" s="7" t="s">
        <v>228</v>
      </c>
      <c r="O100" s="7" t="s">
        <v>136</v>
      </c>
      <c r="P100" s="7" t="s">
        <v>137</v>
      </c>
      <c r="Q100" s="7" t="s">
        <v>147</v>
      </c>
      <c r="R100" s="7" t="s">
        <v>591</v>
      </c>
      <c r="S100" s="7" t="s">
        <v>139</v>
      </c>
      <c r="T100" s="7" t="s">
        <v>230</v>
      </c>
      <c r="U100" s="8" t="str">
        <f t="shared" si="2"/>
        <v>UNIQUE</v>
      </c>
      <c r="V100" s="8" t="str">
        <f t="shared" si="3"/>
        <v>COMPLETE</v>
      </c>
    </row>
    <row r="101" spans="1:22" ht="15" customHeight="1" x14ac:dyDescent="0.3">
      <c r="A101" s="7" t="s">
        <v>592</v>
      </c>
      <c r="B101" s="7" t="s">
        <v>593</v>
      </c>
      <c r="C101" s="7" t="s">
        <v>129</v>
      </c>
      <c r="D101" s="7" t="s">
        <v>594</v>
      </c>
      <c r="E101" s="7" t="s">
        <v>595</v>
      </c>
      <c r="F101" s="7" t="s">
        <v>181</v>
      </c>
      <c r="G101" s="7" t="s">
        <v>172</v>
      </c>
      <c r="H101" s="7" t="s">
        <v>147</v>
      </c>
      <c r="I101" s="7" t="s">
        <v>234</v>
      </c>
      <c r="J101" s="7" t="s">
        <v>147</v>
      </c>
      <c r="K101" s="7" t="s">
        <v>147</v>
      </c>
      <c r="L101" s="7" t="s">
        <v>147</v>
      </c>
      <c r="M101" s="7" t="s">
        <v>147</v>
      </c>
      <c r="N101" s="7" t="s">
        <v>235</v>
      </c>
      <c r="O101" s="7" t="s">
        <v>136</v>
      </c>
      <c r="P101" s="7" t="s">
        <v>137</v>
      </c>
      <c r="Q101" s="7" t="s">
        <v>147</v>
      </c>
      <c r="R101" s="7" t="s">
        <v>596</v>
      </c>
      <c r="S101" s="7" t="s">
        <v>176</v>
      </c>
      <c r="T101" s="7" t="s">
        <v>237</v>
      </c>
      <c r="U101" s="8" t="str">
        <f t="shared" si="2"/>
        <v>UNIQUE</v>
      </c>
      <c r="V101" s="8" t="str">
        <f t="shared" si="3"/>
        <v>COMPLETE</v>
      </c>
    </row>
    <row r="102" spans="1:22" ht="15" customHeight="1" x14ac:dyDescent="0.3">
      <c r="A102" s="7" t="s">
        <v>597</v>
      </c>
      <c r="B102" s="7" t="s">
        <v>598</v>
      </c>
      <c r="C102" s="7" t="s">
        <v>129</v>
      </c>
      <c r="D102" s="7" t="s">
        <v>161</v>
      </c>
      <c r="E102" s="7" t="s">
        <v>599</v>
      </c>
      <c r="F102" s="7" t="s">
        <v>132</v>
      </c>
      <c r="G102" s="7" t="s">
        <v>172</v>
      </c>
      <c r="H102" s="7" t="s">
        <v>147</v>
      </c>
      <c r="I102" s="7" t="s">
        <v>241</v>
      </c>
      <c r="J102" s="7" t="s">
        <v>147</v>
      </c>
      <c r="K102" s="7" t="s">
        <v>147</v>
      </c>
      <c r="L102" s="7" t="s">
        <v>147</v>
      </c>
      <c r="M102" s="7" t="s">
        <v>147</v>
      </c>
      <c r="N102" s="7" t="s">
        <v>242</v>
      </c>
      <c r="O102" s="7" t="s">
        <v>136</v>
      </c>
      <c r="P102" s="7" t="s">
        <v>137</v>
      </c>
      <c r="Q102" s="7" t="s">
        <v>147</v>
      </c>
      <c r="R102" s="7" t="s">
        <v>600</v>
      </c>
      <c r="S102" s="7" t="s">
        <v>176</v>
      </c>
      <c r="T102" s="7" t="s">
        <v>244</v>
      </c>
      <c r="U102" s="8" t="str">
        <f t="shared" si="2"/>
        <v>UNIQUE</v>
      </c>
      <c r="V102" s="8" t="str">
        <f t="shared" si="3"/>
        <v>COMPLETE</v>
      </c>
    </row>
    <row r="103" spans="1:22" ht="15" customHeight="1" x14ac:dyDescent="0.3">
      <c r="A103" s="7" t="s">
        <v>601</v>
      </c>
      <c r="B103" s="7" t="s">
        <v>602</v>
      </c>
      <c r="C103" s="7" t="s">
        <v>129</v>
      </c>
      <c r="D103" s="7" t="s">
        <v>603</v>
      </c>
      <c r="E103" s="7" t="s">
        <v>604</v>
      </c>
      <c r="F103" s="7" t="s">
        <v>171</v>
      </c>
      <c r="G103" s="7" t="s">
        <v>172</v>
      </c>
      <c r="H103" s="7" t="s">
        <v>147</v>
      </c>
      <c r="I103" s="7" t="s">
        <v>134</v>
      </c>
      <c r="J103" s="7" t="s">
        <v>147</v>
      </c>
      <c r="K103" s="7" t="s">
        <v>147</v>
      </c>
      <c r="L103" s="7" t="s">
        <v>147</v>
      </c>
      <c r="M103" s="7" t="s">
        <v>147</v>
      </c>
      <c r="N103" s="7" t="s">
        <v>135</v>
      </c>
      <c r="O103" s="7" t="s">
        <v>136</v>
      </c>
      <c r="P103" s="7" t="s">
        <v>137</v>
      </c>
      <c r="Q103" s="7" t="s">
        <v>147</v>
      </c>
      <c r="R103" s="7" t="s">
        <v>605</v>
      </c>
      <c r="S103" s="7" t="s">
        <v>176</v>
      </c>
      <c r="T103" s="7" t="s">
        <v>140</v>
      </c>
      <c r="U103" s="8" t="str">
        <f t="shared" si="2"/>
        <v>UNIQUE</v>
      </c>
      <c r="V103" s="8" t="str">
        <f t="shared" si="3"/>
        <v>COMPLETE</v>
      </c>
    </row>
    <row r="104" spans="1:22" ht="15" customHeight="1" x14ac:dyDescent="0.3">
      <c r="A104" s="7" t="s">
        <v>606</v>
      </c>
      <c r="B104" s="7" t="s">
        <v>607</v>
      </c>
      <c r="C104" s="7" t="s">
        <v>129</v>
      </c>
      <c r="D104" s="7" t="s">
        <v>608</v>
      </c>
      <c r="E104" s="7" t="s">
        <v>609</v>
      </c>
      <c r="F104" s="7" t="s">
        <v>181</v>
      </c>
      <c r="G104" s="7" t="s">
        <v>172</v>
      </c>
      <c r="H104" s="7" t="s">
        <v>7</v>
      </c>
      <c r="I104" s="7" t="s">
        <v>146</v>
      </c>
      <c r="J104" s="7" t="s">
        <v>147</v>
      </c>
      <c r="K104" s="7" t="s">
        <v>147</v>
      </c>
      <c r="L104" s="7" t="s">
        <v>147</v>
      </c>
      <c r="M104" s="7" t="s">
        <v>147</v>
      </c>
      <c r="N104" s="7" t="s">
        <v>148</v>
      </c>
      <c r="O104" s="7" t="s">
        <v>136</v>
      </c>
      <c r="P104" s="7" t="s">
        <v>137</v>
      </c>
      <c r="Q104" s="7" t="s">
        <v>147</v>
      </c>
      <c r="R104" s="7" t="s">
        <v>610</v>
      </c>
      <c r="S104" s="7" t="s">
        <v>139</v>
      </c>
      <c r="T104" s="7" t="s">
        <v>150</v>
      </c>
      <c r="U104" s="8" t="str">
        <f t="shared" si="2"/>
        <v>UNIQUE</v>
      </c>
      <c r="V104" s="8" t="str">
        <f t="shared" si="3"/>
        <v>COMPLETE</v>
      </c>
    </row>
    <row r="105" spans="1:22" ht="15" customHeight="1" x14ac:dyDescent="0.3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8" t="str">
        <f t="shared" si="2"/>
        <v/>
      </c>
      <c r="V105" s="8" t="str">
        <f t="shared" si="3"/>
        <v/>
      </c>
    </row>
    <row r="106" spans="1:22" ht="15" customHeight="1" x14ac:dyDescent="0.3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8" t="str">
        <f t="shared" si="2"/>
        <v/>
      </c>
      <c r="V106" s="8" t="str">
        <f t="shared" si="3"/>
        <v/>
      </c>
    </row>
    <row r="107" spans="1:22" ht="15" customHeight="1" x14ac:dyDescent="0.3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8" t="str">
        <f t="shared" si="2"/>
        <v/>
      </c>
      <c r="V107" s="8" t="str">
        <f t="shared" si="3"/>
        <v/>
      </c>
    </row>
    <row r="108" spans="1:22" ht="15" customHeight="1" x14ac:dyDescent="0.3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8" t="str">
        <f t="shared" si="2"/>
        <v/>
      </c>
      <c r="V108" s="8" t="str">
        <f t="shared" si="3"/>
        <v/>
      </c>
    </row>
    <row r="109" spans="1:22" ht="15" customHeight="1" x14ac:dyDescent="0.3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8" t="str">
        <f t="shared" si="2"/>
        <v/>
      </c>
      <c r="V109" s="8" t="str">
        <f t="shared" si="3"/>
        <v/>
      </c>
    </row>
    <row r="110" spans="1:22" ht="15" customHeight="1" x14ac:dyDescent="0.3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8" t="str">
        <f t="shared" si="2"/>
        <v/>
      </c>
      <c r="V110" s="8" t="str">
        <f t="shared" si="3"/>
        <v/>
      </c>
    </row>
    <row r="111" spans="1:22" ht="15" customHeight="1" x14ac:dyDescent="0.3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8" t="str">
        <f t="shared" si="2"/>
        <v/>
      </c>
      <c r="V111" s="8" t="str">
        <f t="shared" si="3"/>
        <v/>
      </c>
    </row>
    <row r="112" spans="1:22" ht="15" customHeight="1" x14ac:dyDescent="0.3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8" t="str">
        <f t="shared" si="2"/>
        <v/>
      </c>
      <c r="V112" s="8" t="str">
        <f t="shared" si="3"/>
        <v/>
      </c>
    </row>
    <row r="113" spans="1:22" ht="15" customHeight="1" x14ac:dyDescent="0.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8" t="str">
        <f t="shared" si="2"/>
        <v/>
      </c>
      <c r="V113" s="8" t="str">
        <f t="shared" si="3"/>
        <v/>
      </c>
    </row>
    <row r="114" spans="1:22" ht="15" customHeight="1" x14ac:dyDescent="0.3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8" t="str">
        <f t="shared" si="2"/>
        <v/>
      </c>
      <c r="V114" s="8" t="str">
        <f t="shared" si="3"/>
        <v/>
      </c>
    </row>
    <row r="115" spans="1:22" ht="15" customHeight="1" x14ac:dyDescent="0.3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8" t="str">
        <f t="shared" si="2"/>
        <v/>
      </c>
      <c r="V115" s="8" t="str">
        <f t="shared" si="3"/>
        <v/>
      </c>
    </row>
    <row r="116" spans="1:22" ht="15" customHeight="1" x14ac:dyDescent="0.3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8" t="str">
        <f t="shared" si="2"/>
        <v/>
      </c>
      <c r="V116" s="8" t="str">
        <f t="shared" si="3"/>
        <v/>
      </c>
    </row>
    <row r="117" spans="1:22" ht="15" customHeight="1" x14ac:dyDescent="0.3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8" t="str">
        <f t="shared" si="2"/>
        <v/>
      </c>
      <c r="V117" s="8" t="str">
        <f t="shared" si="3"/>
        <v/>
      </c>
    </row>
    <row r="118" spans="1:22" ht="15" customHeight="1" x14ac:dyDescent="0.3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8" t="str">
        <f t="shared" si="2"/>
        <v/>
      </c>
      <c r="V118" s="8" t="str">
        <f t="shared" si="3"/>
        <v/>
      </c>
    </row>
    <row r="119" spans="1:22" ht="15" customHeight="1" x14ac:dyDescent="0.3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8" t="str">
        <f t="shared" si="2"/>
        <v/>
      </c>
      <c r="V119" s="8" t="str">
        <f t="shared" si="3"/>
        <v/>
      </c>
    </row>
    <row r="120" spans="1:22" ht="15" customHeight="1" x14ac:dyDescent="0.3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8" t="str">
        <f t="shared" si="2"/>
        <v/>
      </c>
      <c r="V120" s="8" t="str">
        <f t="shared" si="3"/>
        <v/>
      </c>
    </row>
    <row r="121" spans="1:22" ht="15" customHeight="1" x14ac:dyDescent="0.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8" t="str">
        <f t="shared" si="2"/>
        <v/>
      </c>
      <c r="V121" s="8" t="str">
        <f t="shared" si="3"/>
        <v/>
      </c>
    </row>
    <row r="122" spans="1:22" ht="15" customHeight="1" x14ac:dyDescent="0.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8" t="str">
        <f t="shared" si="2"/>
        <v/>
      </c>
      <c r="V122" s="8" t="str">
        <f t="shared" si="3"/>
        <v/>
      </c>
    </row>
    <row r="123" spans="1:22" ht="15" customHeight="1" x14ac:dyDescent="0.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8" t="str">
        <f t="shared" si="2"/>
        <v/>
      </c>
      <c r="V123" s="8" t="str">
        <f t="shared" si="3"/>
        <v/>
      </c>
    </row>
    <row r="124" spans="1:22" ht="15" customHeight="1" x14ac:dyDescent="0.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8" t="str">
        <f t="shared" si="2"/>
        <v/>
      </c>
      <c r="V124" s="8" t="str">
        <f t="shared" si="3"/>
        <v/>
      </c>
    </row>
    <row r="125" spans="1:22" ht="15" customHeight="1" x14ac:dyDescent="0.3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8" t="str">
        <f t="shared" si="2"/>
        <v/>
      </c>
      <c r="V125" s="8" t="str">
        <f t="shared" si="3"/>
        <v/>
      </c>
    </row>
    <row r="126" spans="1:22" ht="15" customHeight="1" x14ac:dyDescent="0.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8" t="str">
        <f t="shared" si="2"/>
        <v/>
      </c>
      <c r="V126" s="8" t="str">
        <f t="shared" si="3"/>
        <v/>
      </c>
    </row>
    <row r="127" spans="1:22" ht="15" customHeight="1" x14ac:dyDescent="0.3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8" t="str">
        <f t="shared" si="2"/>
        <v/>
      </c>
      <c r="V127" s="8" t="str">
        <f t="shared" si="3"/>
        <v/>
      </c>
    </row>
    <row r="128" spans="1:22" ht="15" customHeight="1" x14ac:dyDescent="0.3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8" t="str">
        <f t="shared" si="2"/>
        <v/>
      </c>
      <c r="V128" s="8" t="str">
        <f t="shared" si="3"/>
        <v/>
      </c>
    </row>
    <row r="129" spans="1:22" ht="15" customHeight="1" x14ac:dyDescent="0.3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8" t="str">
        <f t="shared" si="2"/>
        <v/>
      </c>
      <c r="V129" s="8" t="str">
        <f t="shared" si="3"/>
        <v/>
      </c>
    </row>
    <row r="130" spans="1:22" ht="15" customHeight="1" x14ac:dyDescent="0.3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8" t="str">
        <f t="shared" si="2"/>
        <v/>
      </c>
      <c r="V130" s="8" t="str">
        <f t="shared" si="3"/>
        <v/>
      </c>
    </row>
    <row r="131" spans="1:22" ht="15" customHeight="1" x14ac:dyDescent="0.3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8" t="str">
        <f t="shared" si="2"/>
        <v/>
      </c>
      <c r="V131" s="8" t="str">
        <f t="shared" si="3"/>
        <v/>
      </c>
    </row>
    <row r="132" spans="1:22" ht="15" customHeight="1" x14ac:dyDescent="0.3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8" t="str">
        <f t="shared" si="2"/>
        <v/>
      </c>
      <c r="V132" s="8" t="str">
        <f t="shared" si="3"/>
        <v/>
      </c>
    </row>
    <row r="133" spans="1:22" ht="15" customHeight="1" x14ac:dyDescent="0.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8" t="str">
        <f t="shared" ref="U133:U196" si="4">IF(A133="","",IF(COUNTIF($B$5:$B$304,B133)&gt;1,"DUPLICATE","UNIQUE"))</f>
        <v/>
      </c>
      <c r="V133" s="8" t="str">
        <f t="shared" ref="V133:V196" si="5">IF(A133="","",IF(AND(B133&lt;&gt;"",C133&lt;&gt;"",D133&lt;&gt;"",E133&lt;&gt;"",F133&lt;&gt;"",G133&lt;&gt;"",H133&lt;&gt;"",J133&lt;&gt;"",K133&lt;&gt;"",L133&lt;&gt;"",M133&lt;&gt;"",O133&lt;&gt;"",P133&lt;&gt;"",R133&lt;&gt;""),"COMPLETE","MISSING FIELDS"))</f>
        <v/>
      </c>
    </row>
    <row r="134" spans="1:22" ht="15" customHeight="1" x14ac:dyDescent="0.3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8" t="str">
        <f t="shared" si="4"/>
        <v/>
      </c>
      <c r="V134" s="8" t="str">
        <f t="shared" si="5"/>
        <v/>
      </c>
    </row>
    <row r="135" spans="1:22" ht="15" customHeight="1" x14ac:dyDescent="0.3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8" t="str">
        <f t="shared" si="4"/>
        <v/>
      </c>
      <c r="V135" s="8" t="str">
        <f t="shared" si="5"/>
        <v/>
      </c>
    </row>
    <row r="136" spans="1:22" ht="15" customHeight="1" x14ac:dyDescent="0.3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8" t="str">
        <f t="shared" si="4"/>
        <v/>
      </c>
      <c r="V136" s="8" t="str">
        <f t="shared" si="5"/>
        <v/>
      </c>
    </row>
    <row r="137" spans="1:22" ht="15" customHeight="1" x14ac:dyDescent="0.3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8" t="str">
        <f t="shared" si="4"/>
        <v/>
      </c>
      <c r="V137" s="8" t="str">
        <f t="shared" si="5"/>
        <v/>
      </c>
    </row>
    <row r="138" spans="1:22" ht="15" customHeight="1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8" t="str">
        <f t="shared" si="4"/>
        <v/>
      </c>
      <c r="V138" s="8" t="str">
        <f t="shared" si="5"/>
        <v/>
      </c>
    </row>
    <row r="139" spans="1:22" ht="15" customHeight="1" x14ac:dyDescent="0.3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8" t="str">
        <f t="shared" si="4"/>
        <v/>
      </c>
      <c r="V139" s="8" t="str">
        <f t="shared" si="5"/>
        <v/>
      </c>
    </row>
    <row r="140" spans="1:22" ht="15" customHeight="1" x14ac:dyDescent="0.3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8" t="str">
        <f t="shared" si="4"/>
        <v/>
      </c>
      <c r="V140" s="8" t="str">
        <f t="shared" si="5"/>
        <v/>
      </c>
    </row>
    <row r="141" spans="1:22" ht="15" customHeight="1" x14ac:dyDescent="0.3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8" t="str">
        <f t="shared" si="4"/>
        <v/>
      </c>
      <c r="V141" s="8" t="str">
        <f t="shared" si="5"/>
        <v/>
      </c>
    </row>
    <row r="142" spans="1:22" ht="15" customHeight="1" x14ac:dyDescent="0.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8" t="str">
        <f t="shared" si="4"/>
        <v/>
      </c>
      <c r="V142" s="8" t="str">
        <f t="shared" si="5"/>
        <v/>
      </c>
    </row>
    <row r="143" spans="1:22" ht="15" customHeight="1" x14ac:dyDescent="0.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8" t="str">
        <f t="shared" si="4"/>
        <v/>
      </c>
      <c r="V143" s="8" t="str">
        <f t="shared" si="5"/>
        <v/>
      </c>
    </row>
    <row r="144" spans="1:22" ht="15" customHeight="1" x14ac:dyDescent="0.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8" t="str">
        <f t="shared" si="4"/>
        <v/>
      </c>
      <c r="V144" s="8" t="str">
        <f t="shared" si="5"/>
        <v/>
      </c>
    </row>
    <row r="145" spans="1:22" ht="15" customHeight="1" x14ac:dyDescent="0.3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8" t="str">
        <f t="shared" si="4"/>
        <v/>
      </c>
      <c r="V145" s="8" t="str">
        <f t="shared" si="5"/>
        <v/>
      </c>
    </row>
    <row r="146" spans="1:22" ht="15" customHeight="1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8" t="str">
        <f t="shared" si="4"/>
        <v/>
      </c>
      <c r="V146" s="8" t="str">
        <f t="shared" si="5"/>
        <v/>
      </c>
    </row>
    <row r="147" spans="1:22" ht="15" customHeight="1" x14ac:dyDescent="0.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8" t="str">
        <f t="shared" si="4"/>
        <v/>
      </c>
      <c r="V147" s="8" t="str">
        <f t="shared" si="5"/>
        <v/>
      </c>
    </row>
    <row r="148" spans="1:22" ht="15" customHeight="1" x14ac:dyDescent="0.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8" t="str">
        <f t="shared" si="4"/>
        <v/>
      </c>
      <c r="V148" s="8" t="str">
        <f t="shared" si="5"/>
        <v/>
      </c>
    </row>
    <row r="149" spans="1:22" ht="15" customHeight="1" x14ac:dyDescent="0.3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8" t="str">
        <f t="shared" si="4"/>
        <v/>
      </c>
      <c r="V149" s="8" t="str">
        <f t="shared" si="5"/>
        <v/>
      </c>
    </row>
    <row r="150" spans="1:22" ht="15" customHeight="1" x14ac:dyDescent="0.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8" t="str">
        <f t="shared" si="4"/>
        <v/>
      </c>
      <c r="V150" s="8" t="str">
        <f t="shared" si="5"/>
        <v/>
      </c>
    </row>
    <row r="151" spans="1:22" ht="15" customHeight="1" x14ac:dyDescent="0.3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8" t="str">
        <f t="shared" si="4"/>
        <v/>
      </c>
      <c r="V151" s="8" t="str">
        <f t="shared" si="5"/>
        <v/>
      </c>
    </row>
    <row r="152" spans="1:22" ht="15" customHeight="1" x14ac:dyDescent="0.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8" t="str">
        <f t="shared" si="4"/>
        <v/>
      </c>
      <c r="V152" s="8" t="str">
        <f t="shared" si="5"/>
        <v/>
      </c>
    </row>
    <row r="153" spans="1:22" ht="15" customHeight="1" x14ac:dyDescent="0.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8" t="str">
        <f t="shared" si="4"/>
        <v/>
      </c>
      <c r="V153" s="8" t="str">
        <f t="shared" si="5"/>
        <v/>
      </c>
    </row>
    <row r="154" spans="1:22" ht="15" customHeight="1" x14ac:dyDescent="0.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8" t="str">
        <f t="shared" si="4"/>
        <v/>
      </c>
      <c r="V154" s="8" t="str">
        <f t="shared" si="5"/>
        <v/>
      </c>
    </row>
    <row r="155" spans="1:22" ht="15" customHeight="1" x14ac:dyDescent="0.3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8" t="str">
        <f t="shared" si="4"/>
        <v/>
      </c>
      <c r="V155" s="8" t="str">
        <f t="shared" si="5"/>
        <v/>
      </c>
    </row>
    <row r="156" spans="1:22" ht="15" customHeight="1" x14ac:dyDescent="0.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8" t="str">
        <f t="shared" si="4"/>
        <v/>
      </c>
      <c r="V156" s="8" t="str">
        <f t="shared" si="5"/>
        <v/>
      </c>
    </row>
    <row r="157" spans="1:22" ht="15" customHeight="1" x14ac:dyDescent="0.3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8" t="str">
        <f t="shared" si="4"/>
        <v/>
      </c>
      <c r="V157" s="8" t="str">
        <f t="shared" si="5"/>
        <v/>
      </c>
    </row>
    <row r="158" spans="1:22" ht="15" customHeight="1" x14ac:dyDescent="0.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8" t="str">
        <f t="shared" si="4"/>
        <v/>
      </c>
      <c r="V158" s="8" t="str">
        <f t="shared" si="5"/>
        <v/>
      </c>
    </row>
    <row r="159" spans="1:22" ht="15" customHeight="1" x14ac:dyDescent="0.3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8" t="str">
        <f t="shared" si="4"/>
        <v/>
      </c>
      <c r="V159" s="8" t="str">
        <f t="shared" si="5"/>
        <v/>
      </c>
    </row>
    <row r="160" spans="1:22" ht="15" customHeight="1" x14ac:dyDescent="0.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8" t="str">
        <f t="shared" si="4"/>
        <v/>
      </c>
      <c r="V160" s="8" t="str">
        <f t="shared" si="5"/>
        <v/>
      </c>
    </row>
    <row r="161" spans="1:22" ht="15" customHeight="1" x14ac:dyDescent="0.3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8" t="str">
        <f t="shared" si="4"/>
        <v/>
      </c>
      <c r="V161" s="8" t="str">
        <f t="shared" si="5"/>
        <v/>
      </c>
    </row>
    <row r="162" spans="1:22" ht="15" customHeight="1" x14ac:dyDescent="0.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8" t="str">
        <f t="shared" si="4"/>
        <v/>
      </c>
      <c r="V162" s="8" t="str">
        <f t="shared" si="5"/>
        <v/>
      </c>
    </row>
    <row r="163" spans="1:22" ht="15" customHeight="1" x14ac:dyDescent="0.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8" t="str">
        <f t="shared" si="4"/>
        <v/>
      </c>
      <c r="V163" s="8" t="str">
        <f t="shared" si="5"/>
        <v/>
      </c>
    </row>
    <row r="164" spans="1:22" ht="15" customHeight="1" x14ac:dyDescent="0.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8" t="str">
        <f t="shared" si="4"/>
        <v/>
      </c>
      <c r="V164" s="8" t="str">
        <f t="shared" si="5"/>
        <v/>
      </c>
    </row>
    <row r="165" spans="1:22" ht="15" customHeight="1" x14ac:dyDescent="0.3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8" t="str">
        <f t="shared" si="4"/>
        <v/>
      </c>
      <c r="V165" s="8" t="str">
        <f t="shared" si="5"/>
        <v/>
      </c>
    </row>
    <row r="166" spans="1:22" ht="15" customHeight="1" x14ac:dyDescent="0.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8" t="str">
        <f t="shared" si="4"/>
        <v/>
      </c>
      <c r="V166" s="8" t="str">
        <f t="shared" si="5"/>
        <v/>
      </c>
    </row>
    <row r="167" spans="1:22" ht="15" customHeight="1" x14ac:dyDescent="0.3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8" t="str">
        <f t="shared" si="4"/>
        <v/>
      </c>
      <c r="V167" s="8" t="str">
        <f t="shared" si="5"/>
        <v/>
      </c>
    </row>
    <row r="168" spans="1:22" ht="15" customHeight="1" x14ac:dyDescent="0.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8" t="str">
        <f t="shared" si="4"/>
        <v/>
      </c>
      <c r="V168" s="8" t="str">
        <f t="shared" si="5"/>
        <v/>
      </c>
    </row>
    <row r="169" spans="1:22" ht="15" customHeight="1" x14ac:dyDescent="0.3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8" t="str">
        <f t="shared" si="4"/>
        <v/>
      </c>
      <c r="V169" s="8" t="str">
        <f t="shared" si="5"/>
        <v/>
      </c>
    </row>
    <row r="170" spans="1:22" ht="15" customHeight="1" x14ac:dyDescent="0.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8" t="str">
        <f t="shared" si="4"/>
        <v/>
      </c>
      <c r="V170" s="8" t="str">
        <f t="shared" si="5"/>
        <v/>
      </c>
    </row>
    <row r="171" spans="1:22" ht="15" customHeight="1" x14ac:dyDescent="0.3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8" t="str">
        <f t="shared" si="4"/>
        <v/>
      </c>
      <c r="V171" s="8" t="str">
        <f t="shared" si="5"/>
        <v/>
      </c>
    </row>
    <row r="172" spans="1:22" ht="15" customHeight="1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8" t="str">
        <f t="shared" si="4"/>
        <v/>
      </c>
      <c r="V172" s="8" t="str">
        <f t="shared" si="5"/>
        <v/>
      </c>
    </row>
    <row r="173" spans="1:22" ht="15" customHeight="1" x14ac:dyDescent="0.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8" t="str">
        <f t="shared" si="4"/>
        <v/>
      </c>
      <c r="V173" s="8" t="str">
        <f t="shared" si="5"/>
        <v/>
      </c>
    </row>
    <row r="174" spans="1:22" ht="15" customHeight="1" x14ac:dyDescent="0.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8" t="str">
        <f t="shared" si="4"/>
        <v/>
      </c>
      <c r="V174" s="8" t="str">
        <f t="shared" si="5"/>
        <v/>
      </c>
    </row>
    <row r="175" spans="1:22" ht="15" customHeight="1" x14ac:dyDescent="0.3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8" t="str">
        <f t="shared" si="4"/>
        <v/>
      </c>
      <c r="V175" s="8" t="str">
        <f t="shared" si="5"/>
        <v/>
      </c>
    </row>
    <row r="176" spans="1:22" ht="15" customHeight="1" x14ac:dyDescent="0.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8" t="str">
        <f t="shared" si="4"/>
        <v/>
      </c>
      <c r="V176" s="8" t="str">
        <f t="shared" si="5"/>
        <v/>
      </c>
    </row>
    <row r="177" spans="1:22" ht="15" customHeight="1" x14ac:dyDescent="0.3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8" t="str">
        <f t="shared" si="4"/>
        <v/>
      </c>
      <c r="V177" s="8" t="str">
        <f t="shared" si="5"/>
        <v/>
      </c>
    </row>
    <row r="178" spans="1:22" ht="15" customHeight="1" x14ac:dyDescent="0.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8" t="str">
        <f t="shared" si="4"/>
        <v/>
      </c>
      <c r="V178" s="8" t="str">
        <f t="shared" si="5"/>
        <v/>
      </c>
    </row>
    <row r="179" spans="1:22" ht="15" customHeight="1" x14ac:dyDescent="0.3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8" t="str">
        <f t="shared" si="4"/>
        <v/>
      </c>
      <c r="V179" s="8" t="str">
        <f t="shared" si="5"/>
        <v/>
      </c>
    </row>
    <row r="180" spans="1:22" ht="15" customHeight="1" x14ac:dyDescent="0.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8" t="str">
        <f t="shared" si="4"/>
        <v/>
      </c>
      <c r="V180" s="8" t="str">
        <f t="shared" si="5"/>
        <v/>
      </c>
    </row>
    <row r="181" spans="1:22" ht="15" customHeight="1" x14ac:dyDescent="0.3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8" t="str">
        <f t="shared" si="4"/>
        <v/>
      </c>
      <c r="V181" s="8" t="str">
        <f t="shared" si="5"/>
        <v/>
      </c>
    </row>
    <row r="182" spans="1:22" ht="15" customHeight="1" x14ac:dyDescent="0.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8" t="str">
        <f t="shared" si="4"/>
        <v/>
      </c>
      <c r="V182" s="8" t="str">
        <f t="shared" si="5"/>
        <v/>
      </c>
    </row>
    <row r="183" spans="1:22" ht="15" customHeight="1" x14ac:dyDescent="0.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8" t="str">
        <f t="shared" si="4"/>
        <v/>
      </c>
      <c r="V183" s="8" t="str">
        <f t="shared" si="5"/>
        <v/>
      </c>
    </row>
    <row r="184" spans="1:22" ht="15" customHeight="1" x14ac:dyDescent="0.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8" t="str">
        <f t="shared" si="4"/>
        <v/>
      </c>
      <c r="V184" s="8" t="str">
        <f t="shared" si="5"/>
        <v/>
      </c>
    </row>
    <row r="185" spans="1:22" ht="15" customHeight="1" x14ac:dyDescent="0.3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8" t="str">
        <f t="shared" si="4"/>
        <v/>
      </c>
      <c r="V185" s="8" t="str">
        <f t="shared" si="5"/>
        <v/>
      </c>
    </row>
    <row r="186" spans="1:22" ht="15" customHeight="1" x14ac:dyDescent="0.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8" t="str">
        <f t="shared" si="4"/>
        <v/>
      </c>
      <c r="V186" s="8" t="str">
        <f t="shared" si="5"/>
        <v/>
      </c>
    </row>
    <row r="187" spans="1:22" ht="15" customHeight="1" x14ac:dyDescent="0.3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8" t="str">
        <f t="shared" si="4"/>
        <v/>
      </c>
      <c r="V187" s="8" t="str">
        <f t="shared" si="5"/>
        <v/>
      </c>
    </row>
    <row r="188" spans="1:22" ht="15" customHeight="1" x14ac:dyDescent="0.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8" t="str">
        <f t="shared" si="4"/>
        <v/>
      </c>
      <c r="V188" s="8" t="str">
        <f t="shared" si="5"/>
        <v/>
      </c>
    </row>
    <row r="189" spans="1:22" ht="15" customHeight="1" x14ac:dyDescent="0.3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8" t="str">
        <f t="shared" si="4"/>
        <v/>
      </c>
      <c r="V189" s="8" t="str">
        <f t="shared" si="5"/>
        <v/>
      </c>
    </row>
    <row r="190" spans="1:22" ht="15" customHeight="1" x14ac:dyDescent="0.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8" t="str">
        <f t="shared" si="4"/>
        <v/>
      </c>
      <c r="V190" s="8" t="str">
        <f t="shared" si="5"/>
        <v/>
      </c>
    </row>
    <row r="191" spans="1:22" ht="15" customHeight="1" x14ac:dyDescent="0.3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8" t="str">
        <f t="shared" si="4"/>
        <v/>
      </c>
      <c r="V191" s="8" t="str">
        <f t="shared" si="5"/>
        <v/>
      </c>
    </row>
    <row r="192" spans="1:22" ht="15" customHeight="1" x14ac:dyDescent="0.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8" t="str">
        <f t="shared" si="4"/>
        <v/>
      </c>
      <c r="V192" s="8" t="str">
        <f t="shared" si="5"/>
        <v/>
      </c>
    </row>
    <row r="193" spans="1:22" ht="15" customHeight="1" x14ac:dyDescent="0.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8" t="str">
        <f t="shared" si="4"/>
        <v/>
      </c>
      <c r="V193" s="8" t="str">
        <f t="shared" si="5"/>
        <v/>
      </c>
    </row>
    <row r="194" spans="1:22" ht="15" customHeight="1" x14ac:dyDescent="0.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8" t="str">
        <f t="shared" si="4"/>
        <v/>
      </c>
      <c r="V194" s="8" t="str">
        <f t="shared" si="5"/>
        <v/>
      </c>
    </row>
    <row r="195" spans="1:22" ht="15" customHeight="1" x14ac:dyDescent="0.3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8" t="str">
        <f t="shared" si="4"/>
        <v/>
      </c>
      <c r="V195" s="8" t="str">
        <f t="shared" si="5"/>
        <v/>
      </c>
    </row>
    <row r="196" spans="1:22" ht="15" customHeight="1" x14ac:dyDescent="0.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8" t="str">
        <f t="shared" si="4"/>
        <v/>
      </c>
      <c r="V196" s="8" t="str">
        <f t="shared" si="5"/>
        <v/>
      </c>
    </row>
    <row r="197" spans="1:22" ht="15" customHeight="1" x14ac:dyDescent="0.3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8" t="str">
        <f t="shared" ref="U197:U260" si="6">IF(A197="","",IF(COUNTIF($B$5:$B$304,B197)&gt;1,"DUPLICATE","UNIQUE"))</f>
        <v/>
      </c>
      <c r="V197" s="8" t="str">
        <f t="shared" ref="V197:V260" si="7">IF(A197="","",IF(AND(B197&lt;&gt;"",C197&lt;&gt;"",D197&lt;&gt;"",E197&lt;&gt;"",F197&lt;&gt;"",G197&lt;&gt;"",H197&lt;&gt;"",J197&lt;&gt;"",K197&lt;&gt;"",L197&lt;&gt;"",M197&lt;&gt;"",O197&lt;&gt;"",P197&lt;&gt;"",R197&lt;&gt;""),"COMPLETE","MISSING FIELDS"))</f>
        <v/>
      </c>
    </row>
    <row r="198" spans="1:22" ht="15" customHeight="1" x14ac:dyDescent="0.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8" t="str">
        <f t="shared" si="6"/>
        <v/>
      </c>
      <c r="V198" s="8" t="str">
        <f t="shared" si="7"/>
        <v/>
      </c>
    </row>
    <row r="199" spans="1:22" ht="15" customHeight="1" x14ac:dyDescent="0.3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8" t="str">
        <f t="shared" si="6"/>
        <v/>
      </c>
      <c r="V199" s="8" t="str">
        <f t="shared" si="7"/>
        <v/>
      </c>
    </row>
    <row r="200" spans="1:22" ht="15" customHeight="1" x14ac:dyDescent="0.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8" t="str">
        <f t="shared" si="6"/>
        <v/>
      </c>
      <c r="V200" s="8" t="str">
        <f t="shared" si="7"/>
        <v/>
      </c>
    </row>
    <row r="201" spans="1:22" ht="15" customHeight="1" x14ac:dyDescent="0.3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8" t="str">
        <f t="shared" si="6"/>
        <v/>
      </c>
      <c r="V201" s="8" t="str">
        <f t="shared" si="7"/>
        <v/>
      </c>
    </row>
    <row r="202" spans="1:22" ht="15" customHeight="1" x14ac:dyDescent="0.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8" t="str">
        <f t="shared" si="6"/>
        <v/>
      </c>
      <c r="V202" s="8" t="str">
        <f t="shared" si="7"/>
        <v/>
      </c>
    </row>
    <row r="203" spans="1:22" ht="15" customHeight="1" x14ac:dyDescent="0.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8" t="str">
        <f t="shared" si="6"/>
        <v/>
      </c>
      <c r="V203" s="8" t="str">
        <f t="shared" si="7"/>
        <v/>
      </c>
    </row>
    <row r="204" spans="1:22" ht="15" customHeight="1" x14ac:dyDescent="0.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8" t="str">
        <f t="shared" si="6"/>
        <v/>
      </c>
      <c r="V204" s="8" t="str">
        <f t="shared" si="7"/>
        <v/>
      </c>
    </row>
    <row r="205" spans="1:22" ht="15" customHeight="1" x14ac:dyDescent="0.3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8" t="str">
        <f t="shared" si="6"/>
        <v/>
      </c>
      <c r="V205" s="8" t="str">
        <f t="shared" si="7"/>
        <v/>
      </c>
    </row>
    <row r="206" spans="1:22" ht="15" customHeight="1" x14ac:dyDescent="0.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8" t="str">
        <f t="shared" si="6"/>
        <v/>
      </c>
      <c r="V206" s="8" t="str">
        <f t="shared" si="7"/>
        <v/>
      </c>
    </row>
    <row r="207" spans="1:22" ht="15" customHeight="1" x14ac:dyDescent="0.3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8" t="str">
        <f t="shared" si="6"/>
        <v/>
      </c>
      <c r="V207" s="8" t="str">
        <f t="shared" si="7"/>
        <v/>
      </c>
    </row>
    <row r="208" spans="1:22" ht="15" customHeight="1" x14ac:dyDescent="0.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8" t="str">
        <f t="shared" si="6"/>
        <v/>
      </c>
      <c r="V208" s="8" t="str">
        <f t="shared" si="7"/>
        <v/>
      </c>
    </row>
    <row r="209" spans="1:22" ht="15" customHeight="1" x14ac:dyDescent="0.3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8" t="str">
        <f t="shared" si="6"/>
        <v/>
      </c>
      <c r="V209" s="8" t="str">
        <f t="shared" si="7"/>
        <v/>
      </c>
    </row>
    <row r="210" spans="1:22" ht="15" customHeight="1" x14ac:dyDescent="0.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8" t="str">
        <f t="shared" si="6"/>
        <v/>
      </c>
      <c r="V210" s="8" t="str">
        <f t="shared" si="7"/>
        <v/>
      </c>
    </row>
    <row r="211" spans="1:22" ht="15" customHeight="1" x14ac:dyDescent="0.3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8" t="str">
        <f t="shared" si="6"/>
        <v/>
      </c>
      <c r="V211" s="8" t="str">
        <f t="shared" si="7"/>
        <v/>
      </c>
    </row>
    <row r="212" spans="1:22" ht="15" customHeight="1" x14ac:dyDescent="0.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8" t="str">
        <f t="shared" si="6"/>
        <v/>
      </c>
      <c r="V212" s="8" t="str">
        <f t="shared" si="7"/>
        <v/>
      </c>
    </row>
    <row r="213" spans="1:22" ht="15" customHeight="1" x14ac:dyDescent="0.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8" t="str">
        <f t="shared" si="6"/>
        <v/>
      </c>
      <c r="V213" s="8" t="str">
        <f t="shared" si="7"/>
        <v/>
      </c>
    </row>
    <row r="214" spans="1:22" ht="15" customHeight="1" x14ac:dyDescent="0.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8" t="str">
        <f t="shared" si="6"/>
        <v/>
      </c>
      <c r="V214" s="8" t="str">
        <f t="shared" si="7"/>
        <v/>
      </c>
    </row>
    <row r="215" spans="1:22" ht="15" customHeight="1" x14ac:dyDescent="0.3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8" t="str">
        <f t="shared" si="6"/>
        <v/>
      </c>
      <c r="V215" s="8" t="str">
        <f t="shared" si="7"/>
        <v/>
      </c>
    </row>
    <row r="216" spans="1:22" ht="15" customHeight="1" x14ac:dyDescent="0.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8" t="str">
        <f t="shared" si="6"/>
        <v/>
      </c>
      <c r="V216" s="8" t="str">
        <f t="shared" si="7"/>
        <v/>
      </c>
    </row>
    <row r="217" spans="1:22" ht="15" customHeight="1" x14ac:dyDescent="0.3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8" t="str">
        <f t="shared" si="6"/>
        <v/>
      </c>
      <c r="V217" s="8" t="str">
        <f t="shared" si="7"/>
        <v/>
      </c>
    </row>
    <row r="218" spans="1:22" ht="15" customHeight="1" x14ac:dyDescent="0.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8" t="str">
        <f t="shared" si="6"/>
        <v/>
      </c>
      <c r="V218" s="8" t="str">
        <f t="shared" si="7"/>
        <v/>
      </c>
    </row>
    <row r="219" spans="1:22" ht="15" customHeight="1" x14ac:dyDescent="0.3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8" t="str">
        <f t="shared" si="6"/>
        <v/>
      </c>
      <c r="V219" s="8" t="str">
        <f t="shared" si="7"/>
        <v/>
      </c>
    </row>
    <row r="220" spans="1:22" ht="15" customHeight="1" x14ac:dyDescent="0.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8" t="str">
        <f t="shared" si="6"/>
        <v/>
      </c>
      <c r="V220" s="8" t="str">
        <f t="shared" si="7"/>
        <v/>
      </c>
    </row>
    <row r="221" spans="1:22" ht="15" customHeight="1" x14ac:dyDescent="0.3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8" t="str">
        <f t="shared" si="6"/>
        <v/>
      </c>
      <c r="V221" s="8" t="str">
        <f t="shared" si="7"/>
        <v/>
      </c>
    </row>
    <row r="222" spans="1:22" ht="15" customHeight="1" x14ac:dyDescent="0.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8" t="str">
        <f t="shared" si="6"/>
        <v/>
      </c>
      <c r="V222" s="8" t="str">
        <f t="shared" si="7"/>
        <v/>
      </c>
    </row>
    <row r="223" spans="1:22" ht="15" customHeight="1" x14ac:dyDescent="0.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8" t="str">
        <f t="shared" si="6"/>
        <v/>
      </c>
      <c r="V223" s="8" t="str">
        <f t="shared" si="7"/>
        <v/>
      </c>
    </row>
    <row r="224" spans="1:22" ht="15" customHeight="1" x14ac:dyDescent="0.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8" t="str">
        <f t="shared" si="6"/>
        <v/>
      </c>
      <c r="V224" s="8" t="str">
        <f t="shared" si="7"/>
        <v/>
      </c>
    </row>
    <row r="225" spans="1:22" ht="15" customHeight="1" x14ac:dyDescent="0.3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8" t="str">
        <f t="shared" si="6"/>
        <v/>
      </c>
      <c r="V225" s="8" t="str">
        <f t="shared" si="7"/>
        <v/>
      </c>
    </row>
    <row r="226" spans="1:22" ht="15" customHeight="1" x14ac:dyDescent="0.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8" t="str">
        <f t="shared" si="6"/>
        <v/>
      </c>
      <c r="V226" s="8" t="str">
        <f t="shared" si="7"/>
        <v/>
      </c>
    </row>
    <row r="227" spans="1:22" ht="15" customHeight="1" x14ac:dyDescent="0.3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8" t="str">
        <f t="shared" si="6"/>
        <v/>
      </c>
      <c r="V227" s="8" t="str">
        <f t="shared" si="7"/>
        <v/>
      </c>
    </row>
    <row r="228" spans="1:22" ht="15" customHeight="1" x14ac:dyDescent="0.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8" t="str">
        <f t="shared" si="6"/>
        <v/>
      </c>
      <c r="V228" s="8" t="str">
        <f t="shared" si="7"/>
        <v/>
      </c>
    </row>
    <row r="229" spans="1:22" ht="15" customHeight="1" x14ac:dyDescent="0.3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8" t="str">
        <f t="shared" si="6"/>
        <v/>
      </c>
      <c r="V229" s="8" t="str">
        <f t="shared" si="7"/>
        <v/>
      </c>
    </row>
    <row r="230" spans="1:22" ht="15" customHeight="1" x14ac:dyDescent="0.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8" t="str">
        <f t="shared" si="6"/>
        <v/>
      </c>
      <c r="V230" s="8" t="str">
        <f t="shared" si="7"/>
        <v/>
      </c>
    </row>
    <row r="231" spans="1:22" ht="15" customHeight="1" x14ac:dyDescent="0.3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8" t="str">
        <f t="shared" si="6"/>
        <v/>
      </c>
      <c r="V231" s="8" t="str">
        <f t="shared" si="7"/>
        <v/>
      </c>
    </row>
    <row r="232" spans="1:22" ht="15" customHeight="1" x14ac:dyDescent="0.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8" t="str">
        <f t="shared" si="6"/>
        <v/>
      </c>
      <c r="V232" s="8" t="str">
        <f t="shared" si="7"/>
        <v/>
      </c>
    </row>
    <row r="233" spans="1:22" ht="15" customHeight="1" x14ac:dyDescent="0.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8" t="str">
        <f t="shared" si="6"/>
        <v/>
      </c>
      <c r="V233" s="8" t="str">
        <f t="shared" si="7"/>
        <v/>
      </c>
    </row>
    <row r="234" spans="1:22" ht="15" customHeight="1" x14ac:dyDescent="0.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8" t="str">
        <f t="shared" si="6"/>
        <v/>
      </c>
      <c r="V234" s="8" t="str">
        <f t="shared" si="7"/>
        <v/>
      </c>
    </row>
    <row r="235" spans="1:22" ht="15" customHeight="1" x14ac:dyDescent="0.3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8" t="str">
        <f t="shared" si="6"/>
        <v/>
      </c>
      <c r="V235" s="8" t="str">
        <f t="shared" si="7"/>
        <v/>
      </c>
    </row>
    <row r="236" spans="1:22" ht="15" customHeight="1" x14ac:dyDescent="0.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8" t="str">
        <f t="shared" si="6"/>
        <v/>
      </c>
      <c r="V236" s="8" t="str">
        <f t="shared" si="7"/>
        <v/>
      </c>
    </row>
    <row r="237" spans="1:22" ht="15" customHeight="1" x14ac:dyDescent="0.3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8" t="str">
        <f t="shared" si="6"/>
        <v/>
      </c>
      <c r="V237" s="8" t="str">
        <f t="shared" si="7"/>
        <v/>
      </c>
    </row>
    <row r="238" spans="1:22" ht="15" customHeight="1" x14ac:dyDescent="0.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8" t="str">
        <f t="shared" si="6"/>
        <v/>
      </c>
      <c r="V238" s="8" t="str">
        <f t="shared" si="7"/>
        <v/>
      </c>
    </row>
    <row r="239" spans="1:22" ht="15" customHeight="1" x14ac:dyDescent="0.3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8" t="str">
        <f t="shared" si="6"/>
        <v/>
      </c>
      <c r="V239" s="8" t="str">
        <f t="shared" si="7"/>
        <v/>
      </c>
    </row>
    <row r="240" spans="1:22" ht="15" customHeight="1" x14ac:dyDescent="0.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8" t="str">
        <f t="shared" si="6"/>
        <v/>
      </c>
      <c r="V240" s="8" t="str">
        <f t="shared" si="7"/>
        <v/>
      </c>
    </row>
    <row r="241" spans="1:22" ht="15" customHeight="1" x14ac:dyDescent="0.3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8" t="str">
        <f t="shared" si="6"/>
        <v/>
      </c>
      <c r="V241" s="8" t="str">
        <f t="shared" si="7"/>
        <v/>
      </c>
    </row>
    <row r="242" spans="1:22" ht="15" customHeight="1" x14ac:dyDescent="0.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8" t="str">
        <f t="shared" si="6"/>
        <v/>
      </c>
      <c r="V242" s="8" t="str">
        <f t="shared" si="7"/>
        <v/>
      </c>
    </row>
    <row r="243" spans="1:22" ht="15" customHeight="1" x14ac:dyDescent="0.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8" t="str">
        <f t="shared" si="6"/>
        <v/>
      </c>
      <c r="V243" s="8" t="str">
        <f t="shared" si="7"/>
        <v/>
      </c>
    </row>
    <row r="244" spans="1:22" ht="15" customHeight="1" x14ac:dyDescent="0.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8" t="str">
        <f t="shared" si="6"/>
        <v/>
      </c>
      <c r="V244" s="8" t="str">
        <f t="shared" si="7"/>
        <v/>
      </c>
    </row>
    <row r="245" spans="1:22" ht="15" customHeight="1" x14ac:dyDescent="0.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8" t="str">
        <f t="shared" si="6"/>
        <v/>
      </c>
      <c r="V245" s="8" t="str">
        <f t="shared" si="7"/>
        <v/>
      </c>
    </row>
    <row r="246" spans="1:22" ht="15" customHeight="1" x14ac:dyDescent="0.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8" t="str">
        <f t="shared" si="6"/>
        <v/>
      </c>
      <c r="V246" s="8" t="str">
        <f t="shared" si="7"/>
        <v/>
      </c>
    </row>
    <row r="247" spans="1:22" ht="15" customHeight="1" x14ac:dyDescent="0.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8" t="str">
        <f t="shared" si="6"/>
        <v/>
      </c>
      <c r="V247" s="8" t="str">
        <f t="shared" si="7"/>
        <v/>
      </c>
    </row>
    <row r="248" spans="1:22" ht="15" customHeight="1" x14ac:dyDescent="0.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8" t="str">
        <f t="shared" si="6"/>
        <v/>
      </c>
      <c r="V248" s="8" t="str">
        <f t="shared" si="7"/>
        <v/>
      </c>
    </row>
    <row r="249" spans="1:22" ht="15" customHeight="1" x14ac:dyDescent="0.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8" t="str">
        <f t="shared" si="6"/>
        <v/>
      </c>
      <c r="V249" s="8" t="str">
        <f t="shared" si="7"/>
        <v/>
      </c>
    </row>
    <row r="250" spans="1:22" ht="15" customHeight="1" x14ac:dyDescent="0.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8" t="str">
        <f t="shared" si="6"/>
        <v/>
      </c>
      <c r="V250" s="8" t="str">
        <f t="shared" si="7"/>
        <v/>
      </c>
    </row>
    <row r="251" spans="1:22" ht="15" customHeight="1" x14ac:dyDescent="0.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8" t="str">
        <f t="shared" si="6"/>
        <v/>
      </c>
      <c r="V251" s="8" t="str">
        <f t="shared" si="7"/>
        <v/>
      </c>
    </row>
    <row r="252" spans="1:22" ht="15" customHeight="1" x14ac:dyDescent="0.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8" t="str">
        <f t="shared" si="6"/>
        <v/>
      </c>
      <c r="V252" s="8" t="str">
        <f t="shared" si="7"/>
        <v/>
      </c>
    </row>
    <row r="253" spans="1:22" ht="15" customHeight="1" x14ac:dyDescent="0.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8" t="str">
        <f t="shared" si="6"/>
        <v/>
      </c>
      <c r="V253" s="8" t="str">
        <f t="shared" si="7"/>
        <v/>
      </c>
    </row>
    <row r="254" spans="1:22" ht="15" customHeight="1" x14ac:dyDescent="0.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8" t="str">
        <f t="shared" si="6"/>
        <v/>
      </c>
      <c r="V254" s="8" t="str">
        <f t="shared" si="7"/>
        <v/>
      </c>
    </row>
    <row r="255" spans="1:22" ht="15" customHeight="1" x14ac:dyDescent="0.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8" t="str">
        <f t="shared" si="6"/>
        <v/>
      </c>
      <c r="V255" s="8" t="str">
        <f t="shared" si="7"/>
        <v/>
      </c>
    </row>
    <row r="256" spans="1:22" ht="15" customHeight="1" x14ac:dyDescent="0.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8" t="str">
        <f t="shared" si="6"/>
        <v/>
      </c>
      <c r="V256" s="8" t="str">
        <f t="shared" si="7"/>
        <v/>
      </c>
    </row>
    <row r="257" spans="1:22" ht="15" customHeight="1" x14ac:dyDescent="0.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8" t="str">
        <f t="shared" si="6"/>
        <v/>
      </c>
      <c r="V257" s="8" t="str">
        <f t="shared" si="7"/>
        <v/>
      </c>
    </row>
    <row r="258" spans="1:22" ht="15" customHeight="1" x14ac:dyDescent="0.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8" t="str">
        <f t="shared" si="6"/>
        <v/>
      </c>
      <c r="V258" s="8" t="str">
        <f t="shared" si="7"/>
        <v/>
      </c>
    </row>
    <row r="259" spans="1:22" ht="15" customHeight="1" x14ac:dyDescent="0.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8" t="str">
        <f t="shared" si="6"/>
        <v/>
      </c>
      <c r="V259" s="8" t="str">
        <f t="shared" si="7"/>
        <v/>
      </c>
    </row>
    <row r="260" spans="1:22" ht="15" customHeight="1" x14ac:dyDescent="0.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8" t="str">
        <f t="shared" si="6"/>
        <v/>
      </c>
      <c r="V260" s="8" t="str">
        <f t="shared" si="7"/>
        <v/>
      </c>
    </row>
    <row r="261" spans="1:22" ht="15" customHeight="1" x14ac:dyDescent="0.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8" t="str">
        <f t="shared" ref="U261:U304" si="8">IF(A261="","",IF(COUNTIF($B$5:$B$304,B261)&gt;1,"DUPLICATE","UNIQUE"))</f>
        <v/>
      </c>
      <c r="V261" s="8" t="str">
        <f t="shared" ref="V261:V304" si="9">IF(A261="","",IF(AND(B261&lt;&gt;"",C261&lt;&gt;"",D261&lt;&gt;"",E261&lt;&gt;"",F261&lt;&gt;"",G261&lt;&gt;"",H261&lt;&gt;"",J261&lt;&gt;"",K261&lt;&gt;"",L261&lt;&gt;"",M261&lt;&gt;"",O261&lt;&gt;"",P261&lt;&gt;"",R261&lt;&gt;""),"COMPLETE","MISSING FIELDS"))</f>
        <v/>
      </c>
    </row>
    <row r="262" spans="1:22" ht="15" customHeight="1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8" t="str">
        <f t="shared" si="8"/>
        <v/>
      </c>
      <c r="V262" s="8" t="str">
        <f t="shared" si="9"/>
        <v/>
      </c>
    </row>
    <row r="263" spans="1:22" ht="15" customHeight="1" x14ac:dyDescent="0.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8" t="str">
        <f t="shared" si="8"/>
        <v/>
      </c>
      <c r="V263" s="8" t="str">
        <f t="shared" si="9"/>
        <v/>
      </c>
    </row>
    <row r="264" spans="1:22" ht="15" customHeight="1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8" t="str">
        <f t="shared" si="8"/>
        <v/>
      </c>
      <c r="V264" s="8" t="str">
        <f t="shared" si="9"/>
        <v/>
      </c>
    </row>
    <row r="265" spans="1:22" ht="15" customHeight="1" x14ac:dyDescent="0.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8" t="str">
        <f t="shared" si="8"/>
        <v/>
      </c>
      <c r="V265" s="8" t="str">
        <f t="shared" si="9"/>
        <v/>
      </c>
    </row>
    <row r="266" spans="1:22" ht="15" customHeight="1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8" t="str">
        <f t="shared" si="8"/>
        <v/>
      </c>
      <c r="V266" s="8" t="str">
        <f t="shared" si="9"/>
        <v/>
      </c>
    </row>
    <row r="267" spans="1:22" ht="15" customHeight="1" x14ac:dyDescent="0.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8" t="str">
        <f t="shared" si="8"/>
        <v/>
      </c>
      <c r="V267" s="8" t="str">
        <f t="shared" si="9"/>
        <v/>
      </c>
    </row>
    <row r="268" spans="1:22" ht="15" customHeight="1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8" t="str">
        <f t="shared" si="8"/>
        <v/>
      </c>
      <c r="V268" s="8" t="str">
        <f t="shared" si="9"/>
        <v/>
      </c>
    </row>
    <row r="269" spans="1:22" ht="15" customHeight="1" x14ac:dyDescent="0.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8" t="str">
        <f t="shared" si="8"/>
        <v/>
      </c>
      <c r="V269" s="8" t="str">
        <f t="shared" si="9"/>
        <v/>
      </c>
    </row>
    <row r="270" spans="1:22" ht="15" customHeight="1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8" t="str">
        <f t="shared" si="8"/>
        <v/>
      </c>
      <c r="V270" s="8" t="str">
        <f t="shared" si="9"/>
        <v/>
      </c>
    </row>
    <row r="271" spans="1:22" ht="15" customHeight="1" x14ac:dyDescent="0.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8" t="str">
        <f t="shared" si="8"/>
        <v/>
      </c>
      <c r="V271" s="8" t="str">
        <f t="shared" si="9"/>
        <v/>
      </c>
    </row>
    <row r="272" spans="1:22" ht="15" customHeight="1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8" t="str">
        <f t="shared" si="8"/>
        <v/>
      </c>
      <c r="V272" s="8" t="str">
        <f t="shared" si="9"/>
        <v/>
      </c>
    </row>
    <row r="273" spans="1:22" ht="15" customHeight="1" x14ac:dyDescent="0.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8" t="str">
        <f t="shared" si="8"/>
        <v/>
      </c>
      <c r="V273" s="8" t="str">
        <f t="shared" si="9"/>
        <v/>
      </c>
    </row>
    <row r="274" spans="1:22" ht="15" customHeight="1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8" t="str">
        <f t="shared" si="8"/>
        <v/>
      </c>
      <c r="V274" s="8" t="str">
        <f t="shared" si="9"/>
        <v/>
      </c>
    </row>
    <row r="275" spans="1:22" ht="15" customHeight="1" x14ac:dyDescent="0.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8" t="str">
        <f t="shared" si="8"/>
        <v/>
      </c>
      <c r="V275" s="8" t="str">
        <f t="shared" si="9"/>
        <v/>
      </c>
    </row>
    <row r="276" spans="1:22" ht="15" customHeight="1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8" t="str">
        <f t="shared" si="8"/>
        <v/>
      </c>
      <c r="V276" s="8" t="str">
        <f t="shared" si="9"/>
        <v/>
      </c>
    </row>
    <row r="277" spans="1:22" ht="15" customHeight="1" x14ac:dyDescent="0.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8" t="str">
        <f t="shared" si="8"/>
        <v/>
      </c>
      <c r="V277" s="8" t="str">
        <f t="shared" si="9"/>
        <v/>
      </c>
    </row>
    <row r="278" spans="1:22" ht="15" customHeight="1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8" t="str">
        <f t="shared" si="8"/>
        <v/>
      </c>
      <c r="V278" s="8" t="str">
        <f t="shared" si="9"/>
        <v/>
      </c>
    </row>
    <row r="279" spans="1:22" ht="15" customHeight="1" x14ac:dyDescent="0.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8" t="str">
        <f t="shared" si="8"/>
        <v/>
      </c>
      <c r="V279" s="8" t="str">
        <f t="shared" si="9"/>
        <v/>
      </c>
    </row>
    <row r="280" spans="1:22" ht="15" customHeight="1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8" t="str">
        <f t="shared" si="8"/>
        <v/>
      </c>
      <c r="V280" s="8" t="str">
        <f t="shared" si="9"/>
        <v/>
      </c>
    </row>
    <row r="281" spans="1:22" ht="15" customHeight="1" x14ac:dyDescent="0.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8" t="str">
        <f t="shared" si="8"/>
        <v/>
      </c>
      <c r="V281" s="8" t="str">
        <f t="shared" si="9"/>
        <v/>
      </c>
    </row>
    <row r="282" spans="1:22" ht="15" customHeight="1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8" t="str">
        <f t="shared" si="8"/>
        <v/>
      </c>
      <c r="V282" s="8" t="str">
        <f t="shared" si="9"/>
        <v/>
      </c>
    </row>
    <row r="283" spans="1:22" ht="15" customHeight="1" x14ac:dyDescent="0.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8" t="str">
        <f t="shared" si="8"/>
        <v/>
      </c>
      <c r="V283" s="8" t="str">
        <f t="shared" si="9"/>
        <v/>
      </c>
    </row>
    <row r="284" spans="1:22" ht="15" customHeight="1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8" t="str">
        <f t="shared" si="8"/>
        <v/>
      </c>
      <c r="V284" s="8" t="str">
        <f t="shared" si="9"/>
        <v/>
      </c>
    </row>
    <row r="285" spans="1:22" ht="15" customHeight="1" x14ac:dyDescent="0.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8" t="str">
        <f t="shared" si="8"/>
        <v/>
      </c>
      <c r="V285" s="8" t="str">
        <f t="shared" si="9"/>
        <v/>
      </c>
    </row>
    <row r="286" spans="1:22" ht="15" customHeight="1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8" t="str">
        <f t="shared" si="8"/>
        <v/>
      </c>
      <c r="V286" s="8" t="str">
        <f t="shared" si="9"/>
        <v/>
      </c>
    </row>
    <row r="287" spans="1:22" ht="15" customHeight="1" x14ac:dyDescent="0.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8" t="str">
        <f t="shared" si="8"/>
        <v/>
      </c>
      <c r="V287" s="8" t="str">
        <f t="shared" si="9"/>
        <v/>
      </c>
    </row>
    <row r="288" spans="1:22" ht="15" customHeight="1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8" t="str">
        <f t="shared" si="8"/>
        <v/>
      </c>
      <c r="V288" s="8" t="str">
        <f t="shared" si="9"/>
        <v/>
      </c>
    </row>
    <row r="289" spans="1:22" ht="15" customHeight="1" x14ac:dyDescent="0.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8" t="str">
        <f t="shared" si="8"/>
        <v/>
      </c>
      <c r="V289" s="8" t="str">
        <f t="shared" si="9"/>
        <v/>
      </c>
    </row>
    <row r="290" spans="1:22" ht="15" customHeight="1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8" t="str">
        <f t="shared" si="8"/>
        <v/>
      </c>
      <c r="V290" s="8" t="str">
        <f t="shared" si="9"/>
        <v/>
      </c>
    </row>
    <row r="291" spans="1:22" ht="15" customHeight="1" x14ac:dyDescent="0.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8" t="str">
        <f t="shared" si="8"/>
        <v/>
      </c>
      <c r="V291" s="8" t="str">
        <f t="shared" si="9"/>
        <v/>
      </c>
    </row>
    <row r="292" spans="1:22" ht="15" customHeight="1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8" t="str">
        <f t="shared" si="8"/>
        <v/>
      </c>
      <c r="V292" s="8" t="str">
        <f t="shared" si="9"/>
        <v/>
      </c>
    </row>
    <row r="293" spans="1:22" ht="15" customHeight="1" x14ac:dyDescent="0.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8" t="str">
        <f t="shared" si="8"/>
        <v/>
      </c>
      <c r="V293" s="8" t="str">
        <f t="shared" si="9"/>
        <v/>
      </c>
    </row>
    <row r="294" spans="1:22" ht="15" customHeight="1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8" t="str">
        <f t="shared" si="8"/>
        <v/>
      </c>
      <c r="V294" s="8" t="str">
        <f t="shared" si="9"/>
        <v/>
      </c>
    </row>
    <row r="295" spans="1:22" ht="15" customHeight="1" x14ac:dyDescent="0.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8" t="str">
        <f t="shared" si="8"/>
        <v/>
      </c>
      <c r="V295" s="8" t="str">
        <f t="shared" si="9"/>
        <v/>
      </c>
    </row>
    <row r="296" spans="1:22" ht="15" customHeight="1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8" t="str">
        <f t="shared" si="8"/>
        <v/>
      </c>
      <c r="V296" s="8" t="str">
        <f t="shared" si="9"/>
        <v/>
      </c>
    </row>
    <row r="297" spans="1:22" ht="15" customHeight="1" x14ac:dyDescent="0.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8" t="str">
        <f t="shared" si="8"/>
        <v/>
      </c>
      <c r="V297" s="8" t="str">
        <f t="shared" si="9"/>
        <v/>
      </c>
    </row>
    <row r="298" spans="1:22" ht="15" customHeight="1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8" t="str">
        <f t="shared" si="8"/>
        <v/>
      </c>
      <c r="V298" s="8" t="str">
        <f t="shared" si="9"/>
        <v/>
      </c>
    </row>
    <row r="299" spans="1:22" ht="15" customHeight="1" x14ac:dyDescent="0.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8" t="str">
        <f t="shared" si="8"/>
        <v/>
      </c>
      <c r="V299" s="8" t="str">
        <f t="shared" si="9"/>
        <v/>
      </c>
    </row>
    <row r="300" spans="1:22" ht="15" customHeight="1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8" t="str">
        <f t="shared" si="8"/>
        <v/>
      </c>
      <c r="V300" s="8" t="str">
        <f t="shared" si="9"/>
        <v/>
      </c>
    </row>
    <row r="301" spans="1:22" ht="15" customHeight="1" x14ac:dyDescent="0.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8" t="str">
        <f t="shared" si="8"/>
        <v/>
      </c>
      <c r="V301" s="8" t="str">
        <f t="shared" si="9"/>
        <v/>
      </c>
    </row>
    <row r="302" spans="1:22" ht="15" customHeight="1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8" t="str">
        <f t="shared" si="8"/>
        <v/>
      </c>
      <c r="V302" s="8" t="str">
        <f t="shared" si="9"/>
        <v/>
      </c>
    </row>
    <row r="303" spans="1:22" ht="15" customHeight="1" x14ac:dyDescent="0.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8" t="str">
        <f t="shared" si="8"/>
        <v/>
      </c>
      <c r="V303" s="8" t="str">
        <f t="shared" si="9"/>
        <v/>
      </c>
    </row>
    <row r="304" spans="1:22" ht="15" customHeight="1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8" t="str">
        <f t="shared" si="8"/>
        <v/>
      </c>
      <c r="V304" s="8" t="str">
        <f t="shared" si="9"/>
        <v/>
      </c>
    </row>
  </sheetData>
  <mergeCells count="2">
    <mergeCell ref="A2:V2"/>
    <mergeCell ref="A1:V1"/>
  </mergeCells>
  <conditionalFormatting sqref="U5:V304">
    <cfRule type="expression" dxfId="4" priority="2">
      <formula>OR(U5="DUPLICATE",V5="MISSING FIELDS",V5="ADD REASON")</formula>
    </cfRule>
  </conditionalFormatting>
  <dataValidations count="6">
    <dataValidation type="list" allowBlank="1" sqref="C5:C304" xr:uid="{00000000-0002-0000-0200-000000000000}">
      <formula1>"Informational,Comparison,Transactional,Navigational"</formula1>
      <formula2>0</formula2>
    </dataValidation>
    <dataValidation type="list" allowBlank="1" sqref="F5:F304" xr:uid="{00000000-0002-0000-0200-000001000000}">
      <formula1>"US,GB,CA,AU,IN,SG,Other"</formula1>
      <formula2>0</formula2>
    </dataValidation>
    <dataValidation type="list" allowBlank="1" sqref="H5:H304" xr:uid="{00000000-0002-0000-0200-000002000000}">
      <formula1>"Answer box,AI Overview,Both,None"</formula1>
      <formula2>0</formula2>
    </dataValidation>
    <dataValidation type="list" allowBlank="1" sqref="J5:M304" xr:uid="{00000000-0002-0000-0200-000003000000}">
      <formula1>"Cited,Mentioned,Not mentioned"</formula1>
      <formula2>0</formula2>
    </dataValidation>
    <dataValidation type="list" allowBlank="1" sqref="Q5:Q304" xr:uid="{00000000-0002-0000-0200-000004000000}">
      <formula1>"Yes,No"</formula1>
      <formula2>0</formula2>
    </dataValidation>
    <dataValidation type="list" allowBlank="1" sqref="S5:S304" xr:uid="{00000000-0002-0000-0200-000005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4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640625" defaultRowHeight="14.4" x14ac:dyDescent="0.3"/>
  <cols>
    <col min="1" max="1" width="10" customWidth="1"/>
    <col min="2" max="2" width="30" customWidth="1"/>
    <col min="3" max="3" width="34" customWidth="1"/>
    <col min="4" max="4" width="30" customWidth="1"/>
    <col min="5" max="5" width="34" customWidth="1"/>
    <col min="6" max="6" width="30" customWidth="1"/>
    <col min="7" max="7" width="20" customWidth="1"/>
    <col min="8" max="10" width="10" customWidth="1"/>
    <col min="11" max="11" width="12" customWidth="1"/>
    <col min="12" max="12" width="14" customWidth="1"/>
  </cols>
  <sheetData>
    <row r="1" spans="1:12" ht="24" customHeight="1" x14ac:dyDescent="0.3">
      <c r="A1" s="15" t="s">
        <v>611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2"/>
    </row>
    <row r="2" spans="1:12" ht="31.5" customHeight="1" x14ac:dyDescent="0.3">
      <c r="A2" s="13" t="s">
        <v>612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2"/>
    </row>
    <row r="4" spans="1:12" ht="30" customHeight="1" x14ac:dyDescent="0.3">
      <c r="A4" s="1" t="s">
        <v>613</v>
      </c>
      <c r="B4" s="1" t="s">
        <v>614</v>
      </c>
      <c r="C4" s="1" t="s">
        <v>615</v>
      </c>
      <c r="D4" s="1" t="s">
        <v>616</v>
      </c>
      <c r="E4" s="1" t="s">
        <v>617</v>
      </c>
      <c r="F4" s="1" t="s">
        <v>618</v>
      </c>
      <c r="G4" s="1" t="s">
        <v>619</v>
      </c>
      <c r="H4" s="1" t="s">
        <v>620</v>
      </c>
      <c r="I4" s="1" t="s">
        <v>621</v>
      </c>
      <c r="J4" s="1" t="s">
        <v>622</v>
      </c>
      <c r="K4" s="1" t="s">
        <v>125</v>
      </c>
      <c r="L4" s="1" t="s">
        <v>126</v>
      </c>
    </row>
    <row r="5" spans="1:12" ht="15" customHeight="1" x14ac:dyDescent="0.3">
      <c r="A5" s="7" t="s">
        <v>623</v>
      </c>
      <c r="B5" s="7" t="s">
        <v>624</v>
      </c>
      <c r="C5" s="7" t="s">
        <v>625</v>
      </c>
      <c r="D5" s="7" t="s">
        <v>626</v>
      </c>
      <c r="E5" s="7" t="s">
        <v>627</v>
      </c>
      <c r="F5" s="7" t="s">
        <v>628</v>
      </c>
      <c r="G5" s="7" t="s">
        <v>629</v>
      </c>
      <c r="H5" s="7" t="s">
        <v>7</v>
      </c>
      <c r="I5" s="7" t="s">
        <v>630</v>
      </c>
      <c r="J5" s="7" t="s">
        <v>631</v>
      </c>
      <c r="K5" s="8" t="str">
        <f t="shared" ref="K5:K36" si="0">IF(A5="","",IF(COUNTIF($A$5:$A$54,A5)&gt;1,"DUPLICATE","UNIQUE"))</f>
        <v>UNIQUE</v>
      </c>
      <c r="L5" s="8" t="str">
        <f t="shared" ref="L5:L36" si="1">IF(A5="","",IF(AND(B5&lt;&gt;"",C5&lt;&gt;"",D5&lt;&gt;"",E5&lt;&gt;"",F5&lt;&gt;"",G5&lt;&gt;"",H5&lt;&gt;"",I5&lt;&gt;""),"COMPLETE","MISSING FIELDS"))</f>
        <v>COMPLETE</v>
      </c>
    </row>
    <row r="6" spans="1:12" ht="15" customHeight="1" x14ac:dyDescent="0.3">
      <c r="A6" s="7" t="s">
        <v>632</v>
      </c>
      <c r="B6" s="7" t="s">
        <v>633</v>
      </c>
      <c r="C6" s="7" t="s">
        <v>634</v>
      </c>
      <c r="D6" s="7" t="s">
        <v>635</v>
      </c>
      <c r="E6" s="7" t="s">
        <v>636</v>
      </c>
      <c r="F6" s="7" t="s">
        <v>637</v>
      </c>
      <c r="G6" s="7" t="s">
        <v>629</v>
      </c>
      <c r="H6" s="7" t="s">
        <v>7</v>
      </c>
      <c r="I6" s="7" t="s">
        <v>630</v>
      </c>
      <c r="J6" s="7" t="s">
        <v>631</v>
      </c>
      <c r="K6" s="8" t="str">
        <f t="shared" si="0"/>
        <v>UNIQUE</v>
      </c>
      <c r="L6" s="8" t="str">
        <f t="shared" si="1"/>
        <v>COMPLETE</v>
      </c>
    </row>
    <row r="7" spans="1:12" ht="15" customHeight="1" x14ac:dyDescent="0.3">
      <c r="A7" s="7" t="s">
        <v>638</v>
      </c>
      <c r="B7" s="7" t="s">
        <v>633</v>
      </c>
      <c r="C7" s="7" t="s">
        <v>639</v>
      </c>
      <c r="D7" s="7" t="s">
        <v>640</v>
      </c>
      <c r="E7" s="7" t="s">
        <v>641</v>
      </c>
      <c r="F7" s="7" t="s">
        <v>642</v>
      </c>
      <c r="G7" s="7" t="s">
        <v>629</v>
      </c>
      <c r="H7" s="7" t="s">
        <v>7</v>
      </c>
      <c r="I7" s="7" t="s">
        <v>630</v>
      </c>
      <c r="J7" s="7" t="s">
        <v>631</v>
      </c>
      <c r="K7" s="8" t="str">
        <f t="shared" si="0"/>
        <v>UNIQUE</v>
      </c>
      <c r="L7" s="8" t="str">
        <f t="shared" si="1"/>
        <v>COMPLETE</v>
      </c>
    </row>
    <row r="8" spans="1:12" ht="15" customHeight="1" x14ac:dyDescent="0.3">
      <c r="A8" s="7" t="s">
        <v>643</v>
      </c>
      <c r="B8" s="7" t="s">
        <v>644</v>
      </c>
      <c r="C8" s="7" t="s">
        <v>645</v>
      </c>
      <c r="D8" s="7" t="s">
        <v>646</v>
      </c>
      <c r="E8" s="7" t="s">
        <v>647</v>
      </c>
      <c r="F8" s="7" t="s">
        <v>648</v>
      </c>
      <c r="G8" s="7" t="s">
        <v>629</v>
      </c>
      <c r="H8" s="7" t="s">
        <v>7</v>
      </c>
      <c r="I8" s="7" t="s">
        <v>630</v>
      </c>
      <c r="J8" s="7" t="s">
        <v>631</v>
      </c>
      <c r="K8" s="8" t="str">
        <f t="shared" si="0"/>
        <v>UNIQUE</v>
      </c>
      <c r="L8" s="8" t="str">
        <f t="shared" si="1"/>
        <v>COMPLETE</v>
      </c>
    </row>
    <row r="9" spans="1:12" ht="15" customHeight="1" x14ac:dyDescent="0.3">
      <c r="A9" s="7" t="s">
        <v>649</v>
      </c>
      <c r="B9" s="7" t="s">
        <v>644</v>
      </c>
      <c r="C9" s="7" t="s">
        <v>650</v>
      </c>
      <c r="D9" s="7" t="s">
        <v>651</v>
      </c>
      <c r="E9" s="7" t="s">
        <v>652</v>
      </c>
      <c r="F9" s="7" t="s">
        <v>653</v>
      </c>
      <c r="G9" s="7" t="s">
        <v>629</v>
      </c>
      <c r="H9" s="7" t="s">
        <v>7</v>
      </c>
      <c r="I9" s="7" t="s">
        <v>139</v>
      </c>
      <c r="J9" s="7" t="s">
        <v>631</v>
      </c>
      <c r="K9" s="8" t="str">
        <f t="shared" si="0"/>
        <v>UNIQUE</v>
      </c>
      <c r="L9" s="8" t="str">
        <f t="shared" si="1"/>
        <v>COMPLETE</v>
      </c>
    </row>
    <row r="10" spans="1:12" ht="15" customHeight="1" x14ac:dyDescent="0.3">
      <c r="A10" s="7" t="s">
        <v>654</v>
      </c>
      <c r="B10" s="7" t="s">
        <v>644</v>
      </c>
      <c r="C10" s="7" t="s">
        <v>655</v>
      </c>
      <c r="D10" s="7" t="s">
        <v>656</v>
      </c>
      <c r="E10" s="7" t="s">
        <v>657</v>
      </c>
      <c r="F10" s="7" t="s">
        <v>658</v>
      </c>
      <c r="G10" s="7" t="s">
        <v>629</v>
      </c>
      <c r="H10" s="7" t="s">
        <v>7</v>
      </c>
      <c r="I10" s="7" t="s">
        <v>139</v>
      </c>
      <c r="J10" s="7" t="s">
        <v>631</v>
      </c>
      <c r="K10" s="8" t="str">
        <f t="shared" si="0"/>
        <v>UNIQUE</v>
      </c>
      <c r="L10" s="8" t="str">
        <f t="shared" si="1"/>
        <v>COMPLETE</v>
      </c>
    </row>
    <row r="11" spans="1:12" ht="15" customHeight="1" x14ac:dyDescent="0.3">
      <c r="A11" s="7" t="s">
        <v>659</v>
      </c>
      <c r="B11" s="7" t="s">
        <v>644</v>
      </c>
      <c r="C11" s="7" t="s">
        <v>660</v>
      </c>
      <c r="D11" s="7" t="s">
        <v>661</v>
      </c>
      <c r="E11" s="7" t="s">
        <v>662</v>
      </c>
      <c r="F11" s="7" t="s">
        <v>663</v>
      </c>
      <c r="G11" s="7" t="s">
        <v>629</v>
      </c>
      <c r="H11" s="7" t="s">
        <v>7</v>
      </c>
      <c r="I11" s="7" t="s">
        <v>139</v>
      </c>
      <c r="J11" s="7" t="s">
        <v>631</v>
      </c>
      <c r="K11" s="8" t="str">
        <f t="shared" si="0"/>
        <v>UNIQUE</v>
      </c>
      <c r="L11" s="8" t="str">
        <f t="shared" si="1"/>
        <v>COMPLETE</v>
      </c>
    </row>
    <row r="12" spans="1:12" ht="15" customHeight="1" x14ac:dyDescent="0.3">
      <c r="A12" s="7" t="s">
        <v>664</v>
      </c>
      <c r="B12" s="7" t="s">
        <v>624</v>
      </c>
      <c r="C12" s="7" t="s">
        <v>665</v>
      </c>
      <c r="D12" s="7" t="s">
        <v>666</v>
      </c>
      <c r="E12" s="7" t="s">
        <v>667</v>
      </c>
      <c r="F12" s="7" t="s">
        <v>668</v>
      </c>
      <c r="G12" s="7" t="s">
        <v>629</v>
      </c>
      <c r="H12" s="7" t="s">
        <v>7</v>
      </c>
      <c r="I12" s="7" t="s">
        <v>139</v>
      </c>
      <c r="J12" s="7" t="s">
        <v>631</v>
      </c>
      <c r="K12" s="8" t="str">
        <f t="shared" si="0"/>
        <v>UNIQUE</v>
      </c>
      <c r="L12" s="8" t="str">
        <f t="shared" si="1"/>
        <v>COMPLETE</v>
      </c>
    </row>
    <row r="13" spans="1:12" ht="15" customHeight="1" x14ac:dyDescent="0.3">
      <c r="A13" s="7" t="s">
        <v>669</v>
      </c>
      <c r="B13" s="7" t="s">
        <v>633</v>
      </c>
      <c r="C13" s="7" t="s">
        <v>670</v>
      </c>
      <c r="D13" s="7" t="s">
        <v>671</v>
      </c>
      <c r="E13" s="7" t="s">
        <v>672</v>
      </c>
      <c r="F13" s="7" t="s">
        <v>673</v>
      </c>
      <c r="G13" s="7" t="s">
        <v>629</v>
      </c>
      <c r="H13" s="7" t="s">
        <v>7</v>
      </c>
      <c r="I13" s="7" t="s">
        <v>139</v>
      </c>
      <c r="J13" s="7" t="s">
        <v>631</v>
      </c>
      <c r="K13" s="8" t="str">
        <f t="shared" si="0"/>
        <v>UNIQUE</v>
      </c>
      <c r="L13" s="8" t="str">
        <f t="shared" si="1"/>
        <v>COMPLETE</v>
      </c>
    </row>
    <row r="14" spans="1:12" ht="15" customHeight="1" x14ac:dyDescent="0.3">
      <c r="A14" s="7" t="s">
        <v>674</v>
      </c>
      <c r="B14" s="7" t="s">
        <v>675</v>
      </c>
      <c r="C14" s="7" t="s">
        <v>676</v>
      </c>
      <c r="D14" s="7" t="s">
        <v>677</v>
      </c>
      <c r="E14" s="7" t="s">
        <v>678</v>
      </c>
      <c r="F14" s="7" t="s">
        <v>679</v>
      </c>
      <c r="G14" s="7" t="s">
        <v>629</v>
      </c>
      <c r="H14" s="7" t="s">
        <v>7</v>
      </c>
      <c r="I14" s="7" t="s">
        <v>139</v>
      </c>
      <c r="J14" s="7" t="s">
        <v>631</v>
      </c>
      <c r="K14" s="8" t="str">
        <f t="shared" si="0"/>
        <v>UNIQUE</v>
      </c>
      <c r="L14" s="8" t="str">
        <f t="shared" si="1"/>
        <v>COMPLETE</v>
      </c>
    </row>
    <row r="15" spans="1:12" ht="15" customHeight="1" x14ac:dyDescent="0.3">
      <c r="A15" s="7" t="s">
        <v>680</v>
      </c>
      <c r="B15" s="7" t="s">
        <v>633</v>
      </c>
      <c r="C15" s="7" t="s">
        <v>681</v>
      </c>
      <c r="D15" s="7" t="s">
        <v>682</v>
      </c>
      <c r="E15" s="7" t="s">
        <v>683</v>
      </c>
      <c r="F15" s="7" t="s">
        <v>684</v>
      </c>
      <c r="G15" s="7" t="s">
        <v>629</v>
      </c>
      <c r="H15" s="7" t="s">
        <v>7</v>
      </c>
      <c r="I15" s="7" t="s">
        <v>176</v>
      </c>
      <c r="J15" s="7" t="s">
        <v>176</v>
      </c>
      <c r="K15" s="8" t="str">
        <f t="shared" si="0"/>
        <v>UNIQUE</v>
      </c>
      <c r="L15" s="8" t="str">
        <f t="shared" si="1"/>
        <v>COMPLETE</v>
      </c>
    </row>
    <row r="16" spans="1:12" ht="15" customHeight="1" x14ac:dyDescent="0.3">
      <c r="A16" s="7" t="s">
        <v>685</v>
      </c>
      <c r="B16" s="7" t="s">
        <v>686</v>
      </c>
      <c r="C16" s="7" t="s">
        <v>687</v>
      </c>
      <c r="D16" s="7" t="s">
        <v>688</v>
      </c>
      <c r="E16" s="7" t="s">
        <v>689</v>
      </c>
      <c r="F16" s="7" t="s">
        <v>690</v>
      </c>
      <c r="G16" s="7" t="s">
        <v>629</v>
      </c>
      <c r="H16" s="7" t="s">
        <v>7</v>
      </c>
      <c r="I16" s="7" t="s">
        <v>176</v>
      </c>
      <c r="J16" s="7" t="s">
        <v>176</v>
      </c>
      <c r="K16" s="8" t="str">
        <f t="shared" si="0"/>
        <v>UNIQUE</v>
      </c>
      <c r="L16" s="8" t="str">
        <f t="shared" si="1"/>
        <v>COMPLETE</v>
      </c>
    </row>
    <row r="17" spans="1:12" ht="15" customHeight="1" x14ac:dyDescent="0.3">
      <c r="A17" s="7" t="s">
        <v>691</v>
      </c>
      <c r="B17" s="7" t="s">
        <v>624</v>
      </c>
      <c r="C17" s="7" t="s">
        <v>692</v>
      </c>
      <c r="D17" s="7" t="s">
        <v>693</v>
      </c>
      <c r="E17" s="7" t="s">
        <v>694</v>
      </c>
      <c r="F17" s="7" t="s">
        <v>695</v>
      </c>
      <c r="G17" s="7" t="s">
        <v>629</v>
      </c>
      <c r="H17" s="7" t="s">
        <v>7</v>
      </c>
      <c r="I17" s="7" t="s">
        <v>139</v>
      </c>
      <c r="J17" s="7" t="s">
        <v>176</v>
      </c>
      <c r="K17" s="8" t="str">
        <f t="shared" si="0"/>
        <v>UNIQUE</v>
      </c>
      <c r="L17" s="8" t="str">
        <f t="shared" si="1"/>
        <v>COMPLETE</v>
      </c>
    </row>
    <row r="18" spans="1:12" ht="15" customHeight="1" x14ac:dyDescent="0.3">
      <c r="A18" s="7" t="s">
        <v>696</v>
      </c>
      <c r="B18" s="7" t="s">
        <v>697</v>
      </c>
      <c r="C18" s="7" t="s">
        <v>698</v>
      </c>
      <c r="D18" s="7" t="s">
        <v>699</v>
      </c>
      <c r="E18" s="7" t="s">
        <v>700</v>
      </c>
      <c r="F18" s="7" t="s">
        <v>701</v>
      </c>
      <c r="G18" s="7" t="s">
        <v>629</v>
      </c>
      <c r="H18" s="7" t="s">
        <v>7</v>
      </c>
      <c r="I18" s="7" t="s">
        <v>139</v>
      </c>
      <c r="J18" s="7" t="s">
        <v>176</v>
      </c>
      <c r="K18" s="8" t="str">
        <f t="shared" si="0"/>
        <v>UNIQUE</v>
      </c>
      <c r="L18" s="8" t="str">
        <f t="shared" si="1"/>
        <v>COMPLETE</v>
      </c>
    </row>
    <row r="19" spans="1:12" ht="15" customHeight="1" x14ac:dyDescent="0.3">
      <c r="A19" s="7" t="s">
        <v>702</v>
      </c>
      <c r="B19" s="7" t="s">
        <v>633</v>
      </c>
      <c r="C19" s="7" t="s">
        <v>703</v>
      </c>
      <c r="D19" s="7" t="s">
        <v>704</v>
      </c>
      <c r="E19" s="7" t="s">
        <v>705</v>
      </c>
      <c r="F19" s="7" t="s">
        <v>706</v>
      </c>
      <c r="G19" s="7" t="s">
        <v>629</v>
      </c>
      <c r="H19" s="7" t="s">
        <v>7</v>
      </c>
      <c r="I19" s="7" t="s">
        <v>176</v>
      </c>
      <c r="J19" s="7" t="s">
        <v>176</v>
      </c>
      <c r="K19" s="8" t="str">
        <f t="shared" si="0"/>
        <v>UNIQUE</v>
      </c>
      <c r="L19" s="8" t="str">
        <f t="shared" si="1"/>
        <v>COMPLETE</v>
      </c>
    </row>
    <row r="20" spans="1:12" ht="15" customHeight="1" x14ac:dyDescent="0.3">
      <c r="A20" s="7" t="s">
        <v>707</v>
      </c>
      <c r="B20" s="7" t="s">
        <v>708</v>
      </c>
      <c r="C20" s="7" t="s">
        <v>709</v>
      </c>
      <c r="D20" s="7" t="s">
        <v>710</v>
      </c>
      <c r="E20" s="7" t="s">
        <v>711</v>
      </c>
      <c r="F20" s="7" t="s">
        <v>712</v>
      </c>
      <c r="G20" s="7" t="s">
        <v>629</v>
      </c>
      <c r="H20" s="7" t="s">
        <v>7</v>
      </c>
      <c r="I20" s="7" t="s">
        <v>139</v>
      </c>
      <c r="J20" s="7" t="s">
        <v>176</v>
      </c>
      <c r="K20" s="8" t="str">
        <f t="shared" si="0"/>
        <v>UNIQUE</v>
      </c>
      <c r="L20" s="8" t="str">
        <f t="shared" si="1"/>
        <v>COMPLETE</v>
      </c>
    </row>
    <row r="21" spans="1:12" ht="15" customHeight="1" x14ac:dyDescent="0.3">
      <c r="A21" s="7" t="s">
        <v>713</v>
      </c>
      <c r="B21" s="7" t="s">
        <v>624</v>
      </c>
      <c r="C21" s="7" t="s">
        <v>714</v>
      </c>
      <c r="D21" s="7" t="s">
        <v>715</v>
      </c>
      <c r="E21" s="7" t="s">
        <v>716</v>
      </c>
      <c r="F21" s="7" t="s">
        <v>717</v>
      </c>
      <c r="G21" s="7" t="s">
        <v>629</v>
      </c>
      <c r="H21" s="7" t="s">
        <v>7</v>
      </c>
      <c r="I21" s="7" t="s">
        <v>176</v>
      </c>
      <c r="J21" s="7" t="s">
        <v>176</v>
      </c>
      <c r="K21" s="8" t="str">
        <f t="shared" si="0"/>
        <v>UNIQUE</v>
      </c>
      <c r="L21" s="8" t="str">
        <f t="shared" si="1"/>
        <v>COMPLETE</v>
      </c>
    </row>
    <row r="22" spans="1:12" ht="15" customHeight="1" x14ac:dyDescent="0.3">
      <c r="A22" s="7" t="s">
        <v>718</v>
      </c>
      <c r="B22" s="7" t="s">
        <v>719</v>
      </c>
      <c r="C22" s="7" t="s">
        <v>720</v>
      </c>
      <c r="D22" s="7" t="s">
        <v>721</v>
      </c>
      <c r="E22" s="7" t="s">
        <v>722</v>
      </c>
      <c r="F22" s="7" t="s">
        <v>723</v>
      </c>
      <c r="G22" s="7" t="s">
        <v>629</v>
      </c>
      <c r="H22" s="7" t="s">
        <v>7</v>
      </c>
      <c r="I22" s="7" t="s">
        <v>631</v>
      </c>
      <c r="J22" s="7" t="s">
        <v>176</v>
      </c>
      <c r="K22" s="8" t="str">
        <f t="shared" si="0"/>
        <v>UNIQUE</v>
      </c>
      <c r="L22" s="8" t="str">
        <f t="shared" si="1"/>
        <v>COMPLETE</v>
      </c>
    </row>
    <row r="23" spans="1:12" ht="15" customHeight="1" x14ac:dyDescent="0.3">
      <c r="A23" s="7" t="s">
        <v>724</v>
      </c>
      <c r="B23" s="7" t="s">
        <v>633</v>
      </c>
      <c r="C23" s="7" t="s">
        <v>725</v>
      </c>
      <c r="D23" s="7" t="s">
        <v>726</v>
      </c>
      <c r="E23" s="7" t="s">
        <v>727</v>
      </c>
      <c r="F23" s="7" t="s">
        <v>728</v>
      </c>
      <c r="G23" s="7" t="s">
        <v>629</v>
      </c>
      <c r="H23" s="7" t="s">
        <v>7</v>
      </c>
      <c r="I23" s="7" t="s">
        <v>176</v>
      </c>
      <c r="J23" s="7" t="s">
        <v>176</v>
      </c>
      <c r="K23" s="8" t="str">
        <f t="shared" si="0"/>
        <v>UNIQUE</v>
      </c>
      <c r="L23" s="8" t="str">
        <f t="shared" si="1"/>
        <v>COMPLETE</v>
      </c>
    </row>
    <row r="24" spans="1:12" ht="15" customHeight="1" x14ac:dyDescent="0.3">
      <c r="A24" s="7" t="s">
        <v>729</v>
      </c>
      <c r="B24" s="7" t="s">
        <v>730</v>
      </c>
      <c r="C24" s="7" t="s">
        <v>731</v>
      </c>
      <c r="D24" s="7" t="s">
        <v>732</v>
      </c>
      <c r="E24" s="7" t="s">
        <v>733</v>
      </c>
      <c r="F24" s="7" t="s">
        <v>734</v>
      </c>
      <c r="G24" s="7" t="s">
        <v>629</v>
      </c>
      <c r="H24" s="7" t="s">
        <v>7</v>
      </c>
      <c r="I24" s="7" t="s">
        <v>735</v>
      </c>
      <c r="J24" s="7" t="s">
        <v>176</v>
      </c>
      <c r="K24" s="8" t="str">
        <f t="shared" si="0"/>
        <v>UNIQUE</v>
      </c>
      <c r="L24" s="8" t="str">
        <f t="shared" si="1"/>
        <v>COMPLETE</v>
      </c>
    </row>
    <row r="25" spans="1:12" ht="15" customHeight="1" x14ac:dyDescent="0.3">
      <c r="A25" s="7"/>
      <c r="B25" s="7"/>
      <c r="C25" s="7"/>
      <c r="D25" s="7"/>
      <c r="E25" s="7"/>
      <c r="F25" s="7"/>
      <c r="G25" s="7"/>
      <c r="H25" s="7"/>
      <c r="I25" s="7"/>
      <c r="J25" s="7"/>
      <c r="K25" s="8" t="str">
        <f t="shared" si="0"/>
        <v/>
      </c>
      <c r="L25" s="8" t="str">
        <f t="shared" si="1"/>
        <v/>
      </c>
    </row>
    <row r="26" spans="1:12" ht="15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8" t="str">
        <f t="shared" si="0"/>
        <v/>
      </c>
      <c r="L26" s="8" t="str">
        <f t="shared" si="1"/>
        <v/>
      </c>
    </row>
    <row r="27" spans="1:12" ht="15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8" t="str">
        <f t="shared" si="0"/>
        <v/>
      </c>
      <c r="L27" s="8" t="str">
        <f t="shared" si="1"/>
        <v/>
      </c>
    </row>
    <row r="28" spans="1:12" ht="1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8" t="str">
        <f t="shared" si="0"/>
        <v/>
      </c>
      <c r="L28" s="8" t="str">
        <f t="shared" si="1"/>
        <v/>
      </c>
    </row>
    <row r="29" spans="1:12" ht="15" customHeight="1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8" t="str">
        <f t="shared" si="0"/>
        <v/>
      </c>
      <c r="L29" s="8" t="str">
        <f t="shared" si="1"/>
        <v/>
      </c>
    </row>
    <row r="30" spans="1:12" ht="1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8" t="str">
        <f t="shared" si="0"/>
        <v/>
      </c>
      <c r="L30" s="8" t="str">
        <f t="shared" si="1"/>
        <v/>
      </c>
    </row>
    <row r="31" spans="1:12" ht="15" customHeight="1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8" t="str">
        <f t="shared" si="0"/>
        <v/>
      </c>
      <c r="L31" s="8" t="str">
        <f t="shared" si="1"/>
        <v/>
      </c>
    </row>
    <row r="32" spans="1:12" ht="15" customHeight="1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8" t="str">
        <f t="shared" si="0"/>
        <v/>
      </c>
      <c r="L32" s="8" t="str">
        <f t="shared" si="1"/>
        <v/>
      </c>
    </row>
    <row r="33" spans="1:12" ht="15" customHeight="1" x14ac:dyDescent="0.3">
      <c r="A33" s="7"/>
      <c r="B33" s="7"/>
      <c r="C33" s="7"/>
      <c r="D33" s="7"/>
      <c r="E33" s="7"/>
      <c r="F33" s="7"/>
      <c r="G33" s="7"/>
      <c r="H33" s="7"/>
      <c r="I33" s="7"/>
      <c r="J33" s="7"/>
      <c r="K33" s="8" t="str">
        <f t="shared" si="0"/>
        <v/>
      </c>
      <c r="L33" s="8" t="str">
        <f t="shared" si="1"/>
        <v/>
      </c>
    </row>
    <row r="34" spans="1:12" ht="15" customHeight="1" x14ac:dyDescent="0.3">
      <c r="A34" s="7"/>
      <c r="B34" s="7"/>
      <c r="C34" s="7"/>
      <c r="D34" s="7"/>
      <c r="E34" s="7"/>
      <c r="F34" s="7"/>
      <c r="G34" s="7"/>
      <c r="H34" s="7"/>
      <c r="I34" s="7"/>
      <c r="J34" s="7"/>
      <c r="K34" s="8" t="str">
        <f t="shared" si="0"/>
        <v/>
      </c>
      <c r="L34" s="8" t="str">
        <f t="shared" si="1"/>
        <v/>
      </c>
    </row>
    <row r="35" spans="1:12" ht="15" customHeight="1" x14ac:dyDescent="0.3">
      <c r="A35" s="7"/>
      <c r="B35" s="7"/>
      <c r="C35" s="7"/>
      <c r="D35" s="7"/>
      <c r="E35" s="7"/>
      <c r="F35" s="7"/>
      <c r="G35" s="7"/>
      <c r="H35" s="7"/>
      <c r="I35" s="7"/>
      <c r="J35" s="7"/>
      <c r="K35" s="8" t="str">
        <f t="shared" si="0"/>
        <v/>
      </c>
      <c r="L35" s="8" t="str">
        <f t="shared" si="1"/>
        <v/>
      </c>
    </row>
    <row r="36" spans="1:12" ht="15" customHeight="1" x14ac:dyDescent="0.3">
      <c r="A36" s="7"/>
      <c r="B36" s="7"/>
      <c r="C36" s="7"/>
      <c r="D36" s="7"/>
      <c r="E36" s="7"/>
      <c r="F36" s="7"/>
      <c r="G36" s="7"/>
      <c r="H36" s="7"/>
      <c r="I36" s="7"/>
      <c r="J36" s="7"/>
      <c r="K36" s="8" t="str">
        <f t="shared" si="0"/>
        <v/>
      </c>
      <c r="L36" s="8" t="str">
        <f t="shared" si="1"/>
        <v/>
      </c>
    </row>
    <row r="37" spans="1:12" ht="15" customHeight="1" x14ac:dyDescent="0.3">
      <c r="A37" s="7"/>
      <c r="B37" s="7"/>
      <c r="C37" s="7"/>
      <c r="D37" s="7"/>
      <c r="E37" s="7"/>
      <c r="F37" s="7"/>
      <c r="G37" s="7"/>
      <c r="H37" s="7"/>
      <c r="I37" s="7"/>
      <c r="J37" s="7"/>
      <c r="K37" s="8" t="str">
        <f t="shared" ref="K37:K54" si="2">IF(A37="","",IF(COUNTIF($A$5:$A$54,A37)&gt;1,"DUPLICATE","UNIQUE"))</f>
        <v/>
      </c>
      <c r="L37" s="8" t="str">
        <f t="shared" ref="L37:L54" si="3">IF(A37="","",IF(AND(B37&lt;&gt;"",C37&lt;&gt;"",D37&lt;&gt;"",E37&lt;&gt;"",F37&lt;&gt;"",G37&lt;&gt;"",H37&lt;&gt;"",I37&lt;&gt;""),"COMPLETE","MISSING FIELDS"))</f>
        <v/>
      </c>
    </row>
    <row r="38" spans="1:12" ht="15" customHeight="1" x14ac:dyDescent="0.3">
      <c r="A38" s="7"/>
      <c r="B38" s="7"/>
      <c r="C38" s="7"/>
      <c r="D38" s="7"/>
      <c r="E38" s="7"/>
      <c r="F38" s="7"/>
      <c r="G38" s="7"/>
      <c r="H38" s="7"/>
      <c r="I38" s="7"/>
      <c r="J38" s="7"/>
      <c r="K38" s="8" t="str">
        <f t="shared" si="2"/>
        <v/>
      </c>
      <c r="L38" s="8" t="str">
        <f t="shared" si="3"/>
        <v/>
      </c>
    </row>
    <row r="39" spans="1:12" ht="15" customHeight="1" x14ac:dyDescent="0.3">
      <c r="A39" s="7"/>
      <c r="B39" s="7"/>
      <c r="C39" s="7"/>
      <c r="D39" s="7"/>
      <c r="E39" s="7"/>
      <c r="F39" s="7"/>
      <c r="G39" s="7"/>
      <c r="H39" s="7"/>
      <c r="I39" s="7"/>
      <c r="J39" s="7"/>
      <c r="K39" s="8" t="str">
        <f t="shared" si="2"/>
        <v/>
      </c>
      <c r="L39" s="8" t="str">
        <f t="shared" si="3"/>
        <v/>
      </c>
    </row>
    <row r="40" spans="1:12" ht="15" customHeight="1" x14ac:dyDescent="0.3">
      <c r="A40" s="7"/>
      <c r="B40" s="7"/>
      <c r="C40" s="7"/>
      <c r="D40" s="7"/>
      <c r="E40" s="7"/>
      <c r="F40" s="7"/>
      <c r="G40" s="7"/>
      <c r="H40" s="7"/>
      <c r="I40" s="7"/>
      <c r="J40" s="7"/>
      <c r="K40" s="8" t="str">
        <f t="shared" si="2"/>
        <v/>
      </c>
      <c r="L40" s="8" t="str">
        <f t="shared" si="3"/>
        <v/>
      </c>
    </row>
    <row r="41" spans="1:12" ht="15" customHeight="1" x14ac:dyDescent="0.3">
      <c r="A41" s="7"/>
      <c r="B41" s="7"/>
      <c r="C41" s="7"/>
      <c r="D41" s="7"/>
      <c r="E41" s="7"/>
      <c r="F41" s="7"/>
      <c r="G41" s="7"/>
      <c r="H41" s="7"/>
      <c r="I41" s="7"/>
      <c r="J41" s="7"/>
      <c r="K41" s="8" t="str">
        <f t="shared" si="2"/>
        <v/>
      </c>
      <c r="L41" s="8" t="str">
        <f t="shared" si="3"/>
        <v/>
      </c>
    </row>
    <row r="42" spans="1:12" ht="15" customHeight="1" x14ac:dyDescent="0.3">
      <c r="A42" s="7"/>
      <c r="B42" s="7"/>
      <c r="C42" s="7"/>
      <c r="D42" s="7"/>
      <c r="E42" s="7"/>
      <c r="F42" s="7"/>
      <c r="G42" s="7"/>
      <c r="H42" s="7"/>
      <c r="I42" s="7"/>
      <c r="J42" s="7"/>
      <c r="K42" s="8" t="str">
        <f t="shared" si="2"/>
        <v/>
      </c>
      <c r="L42" s="8" t="str">
        <f t="shared" si="3"/>
        <v/>
      </c>
    </row>
    <row r="43" spans="1:12" ht="15" customHeight="1" x14ac:dyDescent="0.3">
      <c r="A43" s="7"/>
      <c r="B43" s="7"/>
      <c r="C43" s="7"/>
      <c r="D43" s="7"/>
      <c r="E43" s="7"/>
      <c r="F43" s="7"/>
      <c r="G43" s="7"/>
      <c r="H43" s="7"/>
      <c r="I43" s="7"/>
      <c r="J43" s="7"/>
      <c r="K43" s="8" t="str">
        <f t="shared" si="2"/>
        <v/>
      </c>
      <c r="L43" s="8" t="str">
        <f t="shared" si="3"/>
        <v/>
      </c>
    </row>
    <row r="44" spans="1:12" ht="15" customHeight="1" x14ac:dyDescent="0.3">
      <c r="A44" s="7"/>
      <c r="B44" s="7"/>
      <c r="C44" s="7"/>
      <c r="D44" s="7"/>
      <c r="E44" s="7"/>
      <c r="F44" s="7"/>
      <c r="G44" s="7"/>
      <c r="H44" s="7"/>
      <c r="I44" s="7"/>
      <c r="J44" s="7"/>
      <c r="K44" s="8" t="str">
        <f t="shared" si="2"/>
        <v/>
      </c>
      <c r="L44" s="8" t="str">
        <f t="shared" si="3"/>
        <v/>
      </c>
    </row>
    <row r="45" spans="1:12" ht="15" customHeight="1" x14ac:dyDescent="0.3">
      <c r="A45" s="7"/>
      <c r="B45" s="7"/>
      <c r="C45" s="7"/>
      <c r="D45" s="7"/>
      <c r="E45" s="7"/>
      <c r="F45" s="7"/>
      <c r="G45" s="7"/>
      <c r="H45" s="7"/>
      <c r="I45" s="7"/>
      <c r="J45" s="7"/>
      <c r="K45" s="8" t="str">
        <f t="shared" si="2"/>
        <v/>
      </c>
      <c r="L45" s="8" t="str">
        <f t="shared" si="3"/>
        <v/>
      </c>
    </row>
    <row r="46" spans="1:12" ht="15" customHeight="1" x14ac:dyDescent="0.3">
      <c r="A46" s="7"/>
      <c r="B46" s="7"/>
      <c r="C46" s="7"/>
      <c r="D46" s="7"/>
      <c r="E46" s="7"/>
      <c r="F46" s="7"/>
      <c r="G46" s="7"/>
      <c r="H46" s="7"/>
      <c r="I46" s="7"/>
      <c r="J46" s="7"/>
      <c r="K46" s="8" t="str">
        <f t="shared" si="2"/>
        <v/>
      </c>
      <c r="L46" s="8" t="str">
        <f t="shared" si="3"/>
        <v/>
      </c>
    </row>
    <row r="47" spans="1:12" ht="15" customHeight="1" x14ac:dyDescent="0.3">
      <c r="A47" s="7"/>
      <c r="B47" s="7"/>
      <c r="C47" s="7"/>
      <c r="D47" s="7"/>
      <c r="E47" s="7"/>
      <c r="F47" s="7"/>
      <c r="G47" s="7"/>
      <c r="H47" s="7"/>
      <c r="I47" s="7"/>
      <c r="J47" s="7"/>
      <c r="K47" s="8" t="str">
        <f t="shared" si="2"/>
        <v/>
      </c>
      <c r="L47" s="8" t="str">
        <f t="shared" si="3"/>
        <v/>
      </c>
    </row>
    <row r="48" spans="1:12" ht="15" customHeight="1" x14ac:dyDescent="0.3">
      <c r="A48" s="7"/>
      <c r="B48" s="7"/>
      <c r="C48" s="7"/>
      <c r="D48" s="7"/>
      <c r="E48" s="7"/>
      <c r="F48" s="7"/>
      <c r="G48" s="7"/>
      <c r="H48" s="7"/>
      <c r="I48" s="7"/>
      <c r="J48" s="7"/>
      <c r="K48" s="8" t="str">
        <f t="shared" si="2"/>
        <v/>
      </c>
      <c r="L48" s="8" t="str">
        <f t="shared" si="3"/>
        <v/>
      </c>
    </row>
    <row r="49" spans="1:12" ht="15" customHeight="1" x14ac:dyDescent="0.3">
      <c r="A49" s="7"/>
      <c r="B49" s="7"/>
      <c r="C49" s="7"/>
      <c r="D49" s="7"/>
      <c r="E49" s="7"/>
      <c r="F49" s="7"/>
      <c r="G49" s="7"/>
      <c r="H49" s="7"/>
      <c r="I49" s="7"/>
      <c r="J49" s="7"/>
      <c r="K49" s="8" t="str">
        <f t="shared" si="2"/>
        <v/>
      </c>
      <c r="L49" s="8" t="str">
        <f t="shared" si="3"/>
        <v/>
      </c>
    </row>
    <row r="50" spans="1:12" ht="15" customHeight="1" x14ac:dyDescent="0.3">
      <c r="A50" s="7"/>
      <c r="B50" s="7"/>
      <c r="C50" s="7"/>
      <c r="D50" s="7"/>
      <c r="E50" s="7"/>
      <c r="F50" s="7"/>
      <c r="G50" s="7"/>
      <c r="H50" s="7"/>
      <c r="I50" s="7"/>
      <c r="J50" s="7"/>
      <c r="K50" s="8" t="str">
        <f t="shared" si="2"/>
        <v/>
      </c>
      <c r="L50" s="8" t="str">
        <f t="shared" si="3"/>
        <v/>
      </c>
    </row>
    <row r="51" spans="1:12" ht="15" customHeight="1" x14ac:dyDescent="0.3">
      <c r="A51" s="7"/>
      <c r="B51" s="7"/>
      <c r="C51" s="7"/>
      <c r="D51" s="7"/>
      <c r="E51" s="7"/>
      <c r="F51" s="7"/>
      <c r="G51" s="7"/>
      <c r="H51" s="7"/>
      <c r="I51" s="7"/>
      <c r="J51" s="7"/>
      <c r="K51" s="8" t="str">
        <f t="shared" si="2"/>
        <v/>
      </c>
      <c r="L51" s="8" t="str">
        <f t="shared" si="3"/>
        <v/>
      </c>
    </row>
    <row r="52" spans="1:12" ht="15" customHeight="1" x14ac:dyDescent="0.3">
      <c r="A52" s="7"/>
      <c r="B52" s="7"/>
      <c r="C52" s="7"/>
      <c r="D52" s="7"/>
      <c r="E52" s="7"/>
      <c r="F52" s="7"/>
      <c r="G52" s="7"/>
      <c r="H52" s="7"/>
      <c r="I52" s="7"/>
      <c r="J52" s="7"/>
      <c r="K52" s="8" t="str">
        <f t="shared" si="2"/>
        <v/>
      </c>
      <c r="L52" s="8" t="str">
        <f t="shared" si="3"/>
        <v/>
      </c>
    </row>
    <row r="53" spans="1:12" ht="15" customHeight="1" x14ac:dyDescent="0.3">
      <c r="A53" s="7"/>
      <c r="B53" s="7"/>
      <c r="C53" s="7"/>
      <c r="D53" s="7"/>
      <c r="E53" s="7"/>
      <c r="F53" s="7"/>
      <c r="G53" s="7"/>
      <c r="H53" s="7"/>
      <c r="I53" s="7"/>
      <c r="J53" s="7"/>
      <c r="K53" s="8" t="str">
        <f t="shared" si="2"/>
        <v/>
      </c>
      <c r="L53" s="8" t="str">
        <f t="shared" si="3"/>
        <v/>
      </c>
    </row>
    <row r="54" spans="1:12" ht="15" customHeight="1" x14ac:dyDescent="0.3">
      <c r="A54" s="7"/>
      <c r="B54" s="7"/>
      <c r="C54" s="7"/>
      <c r="D54" s="7"/>
      <c r="E54" s="7"/>
      <c r="F54" s="7"/>
      <c r="G54" s="7"/>
      <c r="H54" s="7"/>
      <c r="I54" s="7"/>
      <c r="J54" s="7"/>
      <c r="K54" s="8" t="str">
        <f t="shared" si="2"/>
        <v/>
      </c>
      <c r="L54" s="8" t="str">
        <f t="shared" si="3"/>
        <v/>
      </c>
    </row>
  </sheetData>
  <mergeCells count="2">
    <mergeCell ref="A2:L2"/>
    <mergeCell ref="A1:L1"/>
  </mergeCells>
  <conditionalFormatting sqref="K5:L54">
    <cfRule type="expression" dxfId="3" priority="2">
      <formula>OR(K5="DUPLICATE",L5="MISSING FIELDS",L5="ADD REASON")</formula>
    </cfRule>
  </conditionalFormatting>
  <dataValidations count="2">
    <dataValidation type="list" allowBlank="1" sqref="H5:H54" xr:uid="{00000000-0002-0000-0300-000000000000}">
      <formula1>"Yes,No"</formula1>
      <formula2>0</formula2>
    </dataValidation>
    <dataValidation type="list" allowBlank="1" sqref="I5:J54" xr:uid="{00000000-0002-0000-0300-000001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84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640625" defaultRowHeight="14.4" x14ac:dyDescent="0.3"/>
  <cols>
    <col min="1" max="1" width="10" customWidth="1"/>
    <col min="2" max="2" width="14" customWidth="1"/>
    <col min="3" max="3" width="20" customWidth="1"/>
    <col min="4" max="4" width="36" customWidth="1"/>
    <col min="5" max="5" width="30" customWidth="1"/>
    <col min="6" max="6" width="34" customWidth="1"/>
    <col min="7" max="7" width="26" customWidth="1"/>
    <col min="8" max="8" width="10" customWidth="1"/>
    <col min="9" max="9" width="11" customWidth="1"/>
    <col min="10" max="10" width="12" customWidth="1"/>
    <col min="11" max="11" width="14" customWidth="1"/>
  </cols>
  <sheetData>
    <row r="1" spans="1:11" ht="24" customHeight="1" x14ac:dyDescent="0.3">
      <c r="A1" s="15" t="s">
        <v>736</v>
      </c>
      <c r="B1" s="14"/>
      <c r="C1" s="14"/>
      <c r="D1" s="14"/>
      <c r="E1" s="14"/>
      <c r="F1" s="14"/>
      <c r="G1" s="14"/>
      <c r="H1" s="14"/>
      <c r="I1" s="14"/>
      <c r="J1" s="14"/>
      <c r="K1" s="12"/>
    </row>
    <row r="2" spans="1:11" ht="31.5" customHeight="1" x14ac:dyDescent="0.3">
      <c r="A2" s="13" t="s">
        <v>737</v>
      </c>
      <c r="B2" s="14"/>
      <c r="C2" s="14"/>
      <c r="D2" s="14"/>
      <c r="E2" s="14"/>
      <c r="F2" s="14"/>
      <c r="G2" s="14"/>
      <c r="H2" s="14"/>
      <c r="I2" s="14"/>
      <c r="J2" s="14"/>
      <c r="K2" s="12"/>
    </row>
    <row r="4" spans="1:11" ht="30" customHeight="1" x14ac:dyDescent="0.3">
      <c r="A4" s="1" t="s">
        <v>738</v>
      </c>
      <c r="B4" s="1" t="s">
        <v>739</v>
      </c>
      <c r="C4" s="1" t="s">
        <v>740</v>
      </c>
      <c r="D4" s="1" t="s">
        <v>741</v>
      </c>
      <c r="E4" s="1" t="s">
        <v>742</v>
      </c>
      <c r="F4" s="1" t="s">
        <v>743</v>
      </c>
      <c r="G4" s="1" t="s">
        <v>744</v>
      </c>
      <c r="H4" s="1" t="s">
        <v>745</v>
      </c>
      <c r="I4" s="1" t="s">
        <v>746</v>
      </c>
      <c r="J4" s="1" t="s">
        <v>125</v>
      </c>
      <c r="K4" s="1" t="s">
        <v>126</v>
      </c>
    </row>
    <row r="5" spans="1:11" ht="15" customHeight="1" x14ac:dyDescent="0.3">
      <c r="A5" s="7" t="s">
        <v>747</v>
      </c>
      <c r="B5" s="7" t="s">
        <v>748</v>
      </c>
      <c r="C5" s="7" t="s">
        <v>749</v>
      </c>
      <c r="D5" s="7" t="s">
        <v>750</v>
      </c>
      <c r="E5" s="7" t="s">
        <v>751</v>
      </c>
      <c r="F5" s="7" t="s">
        <v>752</v>
      </c>
      <c r="G5" s="7" t="s">
        <v>753</v>
      </c>
      <c r="H5" s="7" t="s">
        <v>754</v>
      </c>
      <c r="I5" s="7" t="s">
        <v>755</v>
      </c>
      <c r="J5" s="8" t="str">
        <f t="shared" ref="J5:J36" si="0">IF(A5="","",IF(COUNTIF($A$5:$A$84,A5)&gt;1,"DUPLICATE","UNIQUE"))</f>
        <v>UNIQUE</v>
      </c>
      <c r="K5" s="8" t="str">
        <f t="shared" ref="K5:K36" si="1">IF(A5="","",IF(AND(B5&lt;&gt;"",C5&lt;&gt;"",D5&lt;&gt;"",E5&lt;&gt;"",F5&lt;&gt;"",I5&lt;&gt;""),"COMPLETE","MISSING FIELDS"))</f>
        <v>COMPLETE</v>
      </c>
    </row>
    <row r="6" spans="1:11" ht="15" customHeight="1" x14ac:dyDescent="0.3">
      <c r="A6" s="7" t="s">
        <v>756</v>
      </c>
      <c r="B6" s="7" t="s">
        <v>748</v>
      </c>
      <c r="C6" s="7" t="s">
        <v>757</v>
      </c>
      <c r="D6" s="7" t="s">
        <v>758</v>
      </c>
      <c r="E6" s="7" t="s">
        <v>759</v>
      </c>
      <c r="F6" s="7" t="s">
        <v>760</v>
      </c>
      <c r="G6" s="7" t="s">
        <v>753</v>
      </c>
      <c r="H6" s="7" t="s">
        <v>754</v>
      </c>
      <c r="I6" s="7" t="s">
        <v>755</v>
      </c>
      <c r="J6" s="8" t="str">
        <f t="shared" si="0"/>
        <v>UNIQUE</v>
      </c>
      <c r="K6" s="8" t="str">
        <f t="shared" si="1"/>
        <v>COMPLETE</v>
      </c>
    </row>
    <row r="7" spans="1:11" ht="15" customHeight="1" x14ac:dyDescent="0.3">
      <c r="A7" s="7" t="s">
        <v>761</v>
      </c>
      <c r="B7" s="7" t="s">
        <v>748</v>
      </c>
      <c r="C7" s="7" t="s">
        <v>762</v>
      </c>
      <c r="D7" s="7" t="s">
        <v>763</v>
      </c>
      <c r="E7" s="7" t="s">
        <v>764</v>
      </c>
      <c r="F7" s="7" t="s">
        <v>765</v>
      </c>
      <c r="G7" s="7" t="s">
        <v>753</v>
      </c>
      <c r="H7" s="7" t="s">
        <v>754</v>
      </c>
      <c r="I7" s="7" t="s">
        <v>755</v>
      </c>
      <c r="J7" s="8" t="str">
        <f t="shared" si="0"/>
        <v>UNIQUE</v>
      </c>
      <c r="K7" s="8" t="str">
        <f t="shared" si="1"/>
        <v>COMPLETE</v>
      </c>
    </row>
    <row r="8" spans="1:11" ht="15" customHeight="1" x14ac:dyDescent="0.3">
      <c r="A8" s="7" t="s">
        <v>766</v>
      </c>
      <c r="B8" s="7" t="s">
        <v>748</v>
      </c>
      <c r="C8" s="7" t="s">
        <v>767</v>
      </c>
      <c r="D8" s="7" t="s">
        <v>768</v>
      </c>
      <c r="E8" s="7" t="s">
        <v>769</v>
      </c>
      <c r="F8" s="7" t="s">
        <v>770</v>
      </c>
      <c r="G8" s="7" t="s">
        <v>753</v>
      </c>
      <c r="H8" s="7" t="s">
        <v>754</v>
      </c>
      <c r="I8" s="7" t="s">
        <v>755</v>
      </c>
      <c r="J8" s="8" t="str">
        <f t="shared" si="0"/>
        <v>UNIQUE</v>
      </c>
      <c r="K8" s="8" t="str">
        <f t="shared" si="1"/>
        <v>COMPLETE</v>
      </c>
    </row>
    <row r="9" spans="1:11" ht="15" customHeight="1" x14ac:dyDescent="0.3">
      <c r="A9" s="7" t="s">
        <v>771</v>
      </c>
      <c r="B9" s="7" t="s">
        <v>748</v>
      </c>
      <c r="C9" s="7" t="s">
        <v>772</v>
      </c>
      <c r="D9" s="7" t="s">
        <v>773</v>
      </c>
      <c r="E9" s="7" t="s">
        <v>774</v>
      </c>
      <c r="F9" s="7" t="s">
        <v>775</v>
      </c>
      <c r="G9" s="7" t="s">
        <v>753</v>
      </c>
      <c r="H9" s="7" t="s">
        <v>754</v>
      </c>
      <c r="I9" s="7" t="s">
        <v>755</v>
      </c>
      <c r="J9" s="8" t="str">
        <f t="shared" si="0"/>
        <v>UNIQUE</v>
      </c>
      <c r="K9" s="8" t="str">
        <f t="shared" si="1"/>
        <v>COMPLETE</v>
      </c>
    </row>
    <row r="10" spans="1:11" ht="15" customHeight="1" x14ac:dyDescent="0.3">
      <c r="A10" s="7" t="s">
        <v>776</v>
      </c>
      <c r="B10" s="7" t="s">
        <v>748</v>
      </c>
      <c r="C10" s="7" t="s">
        <v>777</v>
      </c>
      <c r="D10" s="7" t="s">
        <v>778</v>
      </c>
      <c r="E10" s="7" t="s">
        <v>779</v>
      </c>
      <c r="F10" s="7" t="s">
        <v>780</v>
      </c>
      <c r="G10" s="7" t="s">
        <v>753</v>
      </c>
      <c r="H10" s="7" t="s">
        <v>754</v>
      </c>
      <c r="I10" s="7" t="s">
        <v>755</v>
      </c>
      <c r="J10" s="8" t="str">
        <f t="shared" si="0"/>
        <v>UNIQUE</v>
      </c>
      <c r="K10" s="8" t="str">
        <f t="shared" si="1"/>
        <v>COMPLETE</v>
      </c>
    </row>
    <row r="11" spans="1:11" ht="15" customHeight="1" x14ac:dyDescent="0.3">
      <c r="A11" s="7" t="s">
        <v>781</v>
      </c>
      <c r="B11" s="7" t="s">
        <v>748</v>
      </c>
      <c r="C11" s="7" t="s">
        <v>782</v>
      </c>
      <c r="D11" s="7" t="s">
        <v>783</v>
      </c>
      <c r="E11" s="7" t="s">
        <v>784</v>
      </c>
      <c r="F11" s="7" t="s">
        <v>785</v>
      </c>
      <c r="G11" s="7" t="s">
        <v>753</v>
      </c>
      <c r="H11" s="7" t="s">
        <v>754</v>
      </c>
      <c r="I11" s="7" t="s">
        <v>755</v>
      </c>
      <c r="J11" s="8" t="str">
        <f t="shared" si="0"/>
        <v>UNIQUE</v>
      </c>
      <c r="K11" s="8" t="str">
        <f t="shared" si="1"/>
        <v>COMPLETE</v>
      </c>
    </row>
    <row r="12" spans="1:11" ht="15" customHeight="1" x14ac:dyDescent="0.3">
      <c r="A12" s="7" t="s">
        <v>786</v>
      </c>
      <c r="B12" s="7" t="s">
        <v>748</v>
      </c>
      <c r="C12" s="7" t="s">
        <v>787</v>
      </c>
      <c r="D12" s="7" t="s">
        <v>788</v>
      </c>
      <c r="E12" s="7" t="s">
        <v>789</v>
      </c>
      <c r="F12" s="7" t="s">
        <v>790</v>
      </c>
      <c r="G12" s="7" t="s">
        <v>753</v>
      </c>
      <c r="H12" s="7" t="s">
        <v>754</v>
      </c>
      <c r="I12" s="7" t="s">
        <v>755</v>
      </c>
      <c r="J12" s="8" t="str">
        <f t="shared" si="0"/>
        <v>UNIQUE</v>
      </c>
      <c r="K12" s="8" t="str">
        <f t="shared" si="1"/>
        <v>COMPLETE</v>
      </c>
    </row>
    <row r="13" spans="1:11" ht="15" customHeight="1" x14ac:dyDescent="0.3">
      <c r="A13" s="7" t="s">
        <v>791</v>
      </c>
      <c r="B13" s="7" t="s">
        <v>748</v>
      </c>
      <c r="C13" s="7" t="s">
        <v>792</v>
      </c>
      <c r="D13" s="7" t="s">
        <v>793</v>
      </c>
      <c r="E13" s="7" t="s">
        <v>794</v>
      </c>
      <c r="F13" s="7" t="s">
        <v>795</v>
      </c>
      <c r="G13" s="7" t="s">
        <v>753</v>
      </c>
      <c r="H13" s="7" t="s">
        <v>754</v>
      </c>
      <c r="I13" s="7" t="s">
        <v>755</v>
      </c>
      <c r="J13" s="8" t="str">
        <f t="shared" si="0"/>
        <v>UNIQUE</v>
      </c>
      <c r="K13" s="8" t="str">
        <f t="shared" si="1"/>
        <v>COMPLETE</v>
      </c>
    </row>
    <row r="14" spans="1:11" ht="15" customHeight="1" x14ac:dyDescent="0.3">
      <c r="A14" s="7" t="s">
        <v>796</v>
      </c>
      <c r="B14" s="7" t="s">
        <v>748</v>
      </c>
      <c r="C14" s="7" t="s">
        <v>797</v>
      </c>
      <c r="D14" s="7" t="s">
        <v>798</v>
      </c>
      <c r="E14" s="7" t="s">
        <v>799</v>
      </c>
      <c r="F14" s="7" t="s">
        <v>800</v>
      </c>
      <c r="G14" s="7" t="s">
        <v>753</v>
      </c>
      <c r="H14" s="7" t="s">
        <v>754</v>
      </c>
      <c r="I14" s="7" t="s">
        <v>755</v>
      </c>
      <c r="J14" s="8" t="str">
        <f t="shared" si="0"/>
        <v>UNIQUE</v>
      </c>
      <c r="K14" s="8" t="str">
        <f t="shared" si="1"/>
        <v>COMPLETE</v>
      </c>
    </row>
    <row r="15" spans="1:11" ht="15" customHeight="1" x14ac:dyDescent="0.3">
      <c r="A15" s="7" t="s">
        <v>801</v>
      </c>
      <c r="B15" s="7" t="s">
        <v>802</v>
      </c>
      <c r="C15" s="7" t="s">
        <v>127</v>
      </c>
      <c r="D15" s="7" t="s">
        <v>803</v>
      </c>
      <c r="E15" s="7" t="s">
        <v>804</v>
      </c>
      <c r="F15" s="7" t="s">
        <v>805</v>
      </c>
      <c r="G15" s="7" t="s">
        <v>806</v>
      </c>
      <c r="H15" s="7" t="s">
        <v>807</v>
      </c>
      <c r="I15" s="7" t="s">
        <v>755</v>
      </c>
      <c r="J15" s="8" t="str">
        <f t="shared" si="0"/>
        <v>UNIQUE</v>
      </c>
      <c r="K15" s="8" t="str">
        <f t="shared" si="1"/>
        <v>COMPLETE</v>
      </c>
    </row>
    <row r="16" spans="1:11" ht="15" customHeight="1" x14ac:dyDescent="0.3">
      <c r="A16" s="7" t="s">
        <v>808</v>
      </c>
      <c r="B16" s="7" t="s">
        <v>802</v>
      </c>
      <c r="C16" s="7" t="s">
        <v>159</v>
      </c>
      <c r="D16" s="7" t="s">
        <v>809</v>
      </c>
      <c r="E16" s="7" t="s">
        <v>810</v>
      </c>
      <c r="F16" s="7" t="s">
        <v>811</v>
      </c>
      <c r="G16" s="7" t="s">
        <v>812</v>
      </c>
      <c r="H16" s="7" t="s">
        <v>813</v>
      </c>
      <c r="I16" s="7" t="s">
        <v>755</v>
      </c>
      <c r="J16" s="8" t="str">
        <f t="shared" si="0"/>
        <v>UNIQUE</v>
      </c>
      <c r="K16" s="8" t="str">
        <f t="shared" si="1"/>
        <v>COMPLETE</v>
      </c>
    </row>
    <row r="17" spans="1:11" ht="15" customHeight="1" x14ac:dyDescent="0.3">
      <c r="A17" s="7" t="s">
        <v>814</v>
      </c>
      <c r="B17" s="7" t="s">
        <v>802</v>
      </c>
      <c r="C17" s="7" t="s">
        <v>186</v>
      </c>
      <c r="D17" s="7" t="s">
        <v>815</v>
      </c>
      <c r="E17" s="7" t="s">
        <v>816</v>
      </c>
      <c r="F17" s="7" t="s">
        <v>817</v>
      </c>
      <c r="G17" s="7" t="s">
        <v>818</v>
      </c>
      <c r="H17" s="7" t="s">
        <v>819</v>
      </c>
      <c r="I17" s="7" t="s">
        <v>755</v>
      </c>
      <c r="J17" s="8" t="str">
        <f t="shared" si="0"/>
        <v>UNIQUE</v>
      </c>
      <c r="K17" s="8" t="str">
        <f t="shared" si="1"/>
        <v>COMPLETE</v>
      </c>
    </row>
    <row r="18" spans="1:11" ht="15" customHeight="1" x14ac:dyDescent="0.3">
      <c r="A18" s="7" t="s">
        <v>820</v>
      </c>
      <c r="B18" s="7" t="s">
        <v>802</v>
      </c>
      <c r="C18" s="7" t="s">
        <v>209</v>
      </c>
      <c r="D18" s="7" t="s">
        <v>821</v>
      </c>
      <c r="E18" s="7" t="s">
        <v>822</v>
      </c>
      <c r="F18" s="7" t="s">
        <v>823</v>
      </c>
      <c r="G18" s="7" t="s">
        <v>824</v>
      </c>
      <c r="H18" s="7" t="s">
        <v>825</v>
      </c>
      <c r="I18" s="7" t="s">
        <v>755</v>
      </c>
      <c r="J18" s="8" t="str">
        <f t="shared" si="0"/>
        <v>UNIQUE</v>
      </c>
      <c r="K18" s="8" t="str">
        <f t="shared" si="1"/>
        <v>COMPLETE</v>
      </c>
    </row>
    <row r="19" spans="1:11" ht="15" customHeight="1" x14ac:dyDescent="0.3">
      <c r="A19" s="7" t="s">
        <v>826</v>
      </c>
      <c r="B19" s="7" t="s">
        <v>802</v>
      </c>
      <c r="C19" s="7" t="s">
        <v>231</v>
      </c>
      <c r="D19" s="7" t="s">
        <v>827</v>
      </c>
      <c r="E19" s="7" t="s">
        <v>828</v>
      </c>
      <c r="F19" s="7" t="s">
        <v>829</v>
      </c>
      <c r="G19" s="7" t="s">
        <v>830</v>
      </c>
      <c r="H19" s="7" t="s">
        <v>831</v>
      </c>
      <c r="I19" s="7" t="s">
        <v>755</v>
      </c>
      <c r="J19" s="8" t="str">
        <f t="shared" si="0"/>
        <v>UNIQUE</v>
      </c>
      <c r="K19" s="8" t="str">
        <f t="shared" si="1"/>
        <v>COMPLETE</v>
      </c>
    </row>
    <row r="20" spans="1:11" ht="15" customHeight="1" x14ac:dyDescent="0.3">
      <c r="A20" s="7" t="s">
        <v>832</v>
      </c>
      <c r="B20" s="7" t="s">
        <v>802</v>
      </c>
      <c r="C20" s="7" t="s">
        <v>249</v>
      </c>
      <c r="D20" s="7" t="s">
        <v>833</v>
      </c>
      <c r="E20" s="7" t="s">
        <v>834</v>
      </c>
      <c r="F20" s="7" t="s">
        <v>835</v>
      </c>
      <c r="G20" s="7" t="s">
        <v>836</v>
      </c>
      <c r="H20" s="7" t="s">
        <v>837</v>
      </c>
      <c r="I20" s="7" t="s">
        <v>755</v>
      </c>
      <c r="J20" s="8" t="str">
        <f t="shared" si="0"/>
        <v>UNIQUE</v>
      </c>
      <c r="K20" s="8" t="str">
        <f t="shared" si="1"/>
        <v>COMPLETE</v>
      </c>
    </row>
    <row r="21" spans="1:11" ht="15" customHeight="1" x14ac:dyDescent="0.3">
      <c r="A21" s="7" t="s">
        <v>838</v>
      </c>
      <c r="B21" s="7" t="s">
        <v>802</v>
      </c>
      <c r="C21" s="7" t="s">
        <v>262</v>
      </c>
      <c r="D21" s="7" t="s">
        <v>839</v>
      </c>
      <c r="E21" s="7" t="s">
        <v>840</v>
      </c>
      <c r="F21" s="7" t="s">
        <v>841</v>
      </c>
      <c r="G21" s="7" t="s">
        <v>842</v>
      </c>
      <c r="H21" s="7" t="s">
        <v>843</v>
      </c>
      <c r="I21" s="7" t="s">
        <v>755</v>
      </c>
      <c r="J21" s="8" t="str">
        <f t="shared" si="0"/>
        <v>UNIQUE</v>
      </c>
      <c r="K21" s="8" t="str">
        <f t="shared" si="1"/>
        <v>COMPLETE</v>
      </c>
    </row>
    <row r="22" spans="1:11" ht="15" customHeight="1" x14ac:dyDescent="0.3">
      <c r="A22" s="7" t="s">
        <v>844</v>
      </c>
      <c r="B22" s="7" t="s">
        <v>802</v>
      </c>
      <c r="C22" s="7" t="s">
        <v>274</v>
      </c>
      <c r="D22" s="7" t="s">
        <v>845</v>
      </c>
      <c r="E22" s="7" t="s">
        <v>846</v>
      </c>
      <c r="F22" s="7" t="s">
        <v>847</v>
      </c>
      <c r="G22" s="7" t="s">
        <v>848</v>
      </c>
      <c r="H22" s="7" t="s">
        <v>849</v>
      </c>
      <c r="I22" s="7" t="s">
        <v>755</v>
      </c>
      <c r="J22" s="8" t="str">
        <f t="shared" si="0"/>
        <v>UNIQUE</v>
      </c>
      <c r="K22" s="8" t="str">
        <f t="shared" si="1"/>
        <v>COMPLETE</v>
      </c>
    </row>
    <row r="23" spans="1:11" ht="15" customHeight="1" x14ac:dyDescent="0.3">
      <c r="A23" s="7" t="s">
        <v>850</v>
      </c>
      <c r="B23" s="7" t="s">
        <v>802</v>
      </c>
      <c r="C23" s="7" t="s">
        <v>287</v>
      </c>
      <c r="D23" s="7" t="s">
        <v>851</v>
      </c>
      <c r="E23" s="7" t="s">
        <v>852</v>
      </c>
      <c r="F23" s="7" t="s">
        <v>853</v>
      </c>
      <c r="G23" s="7" t="s">
        <v>854</v>
      </c>
      <c r="H23" s="7" t="s">
        <v>855</v>
      </c>
      <c r="I23" s="7" t="s">
        <v>755</v>
      </c>
      <c r="J23" s="8" t="str">
        <f t="shared" si="0"/>
        <v>UNIQUE</v>
      </c>
      <c r="K23" s="8" t="str">
        <f t="shared" si="1"/>
        <v>COMPLETE</v>
      </c>
    </row>
    <row r="24" spans="1:11" ht="15" customHeight="1" x14ac:dyDescent="0.3">
      <c r="A24" s="7" t="s">
        <v>856</v>
      </c>
      <c r="B24" s="7" t="s">
        <v>802</v>
      </c>
      <c r="C24" s="7" t="s">
        <v>300</v>
      </c>
      <c r="D24" s="7" t="s">
        <v>857</v>
      </c>
      <c r="E24" s="7" t="s">
        <v>858</v>
      </c>
      <c r="F24" s="7" t="s">
        <v>859</v>
      </c>
      <c r="G24" s="7" t="s">
        <v>860</v>
      </c>
      <c r="H24" s="7" t="s">
        <v>861</v>
      </c>
      <c r="I24" s="7" t="s">
        <v>755</v>
      </c>
      <c r="J24" s="8" t="str">
        <f t="shared" si="0"/>
        <v>UNIQUE</v>
      </c>
      <c r="K24" s="8" t="str">
        <f t="shared" si="1"/>
        <v>COMPLETE</v>
      </c>
    </row>
    <row r="25" spans="1:11" ht="15" customHeight="1" x14ac:dyDescent="0.3">
      <c r="A25" s="7" t="s">
        <v>862</v>
      </c>
      <c r="B25" s="7" t="s">
        <v>802</v>
      </c>
      <c r="C25" s="7" t="s">
        <v>312</v>
      </c>
      <c r="D25" s="7" t="s">
        <v>863</v>
      </c>
      <c r="E25" s="7" t="s">
        <v>864</v>
      </c>
      <c r="F25" s="7" t="s">
        <v>865</v>
      </c>
      <c r="G25" s="7" t="s">
        <v>866</v>
      </c>
      <c r="H25" s="7" t="s">
        <v>867</v>
      </c>
      <c r="I25" s="7" t="s">
        <v>755</v>
      </c>
      <c r="J25" s="8" t="str">
        <f t="shared" si="0"/>
        <v>UNIQUE</v>
      </c>
      <c r="K25" s="8" t="str">
        <f t="shared" si="1"/>
        <v>COMPLETE</v>
      </c>
    </row>
    <row r="26" spans="1:11" ht="15" customHeight="1" x14ac:dyDescent="0.3">
      <c r="A26" s="7" t="s">
        <v>868</v>
      </c>
      <c r="B26" s="7" t="s">
        <v>802</v>
      </c>
      <c r="C26" s="7" t="s">
        <v>325</v>
      </c>
      <c r="D26" s="7" t="s">
        <v>869</v>
      </c>
      <c r="E26" s="7" t="s">
        <v>870</v>
      </c>
      <c r="F26" s="7" t="s">
        <v>871</v>
      </c>
      <c r="G26" s="7" t="s">
        <v>872</v>
      </c>
      <c r="H26" s="7" t="s">
        <v>873</v>
      </c>
      <c r="I26" s="7" t="s">
        <v>755</v>
      </c>
      <c r="J26" s="8" t="str">
        <f t="shared" si="0"/>
        <v>UNIQUE</v>
      </c>
      <c r="K26" s="8" t="str">
        <f t="shared" si="1"/>
        <v>COMPLETE</v>
      </c>
    </row>
    <row r="27" spans="1:11" ht="15" customHeight="1" x14ac:dyDescent="0.3">
      <c r="A27" s="7" t="s">
        <v>874</v>
      </c>
      <c r="B27" s="7" t="s">
        <v>802</v>
      </c>
      <c r="C27" s="7" t="s">
        <v>337</v>
      </c>
      <c r="D27" s="7" t="s">
        <v>875</v>
      </c>
      <c r="E27" s="7" t="s">
        <v>876</v>
      </c>
      <c r="F27" s="7" t="s">
        <v>877</v>
      </c>
      <c r="G27" s="7" t="s">
        <v>878</v>
      </c>
      <c r="H27" s="7" t="s">
        <v>879</v>
      </c>
      <c r="I27" s="7" t="s">
        <v>755</v>
      </c>
      <c r="J27" s="8" t="str">
        <f t="shared" si="0"/>
        <v>UNIQUE</v>
      </c>
      <c r="K27" s="8" t="str">
        <f t="shared" si="1"/>
        <v>COMPLETE</v>
      </c>
    </row>
    <row r="28" spans="1:11" ht="15" customHeight="1" x14ac:dyDescent="0.3">
      <c r="A28" s="7" t="s">
        <v>880</v>
      </c>
      <c r="B28" s="7" t="s">
        <v>802</v>
      </c>
      <c r="C28" s="7" t="s">
        <v>349</v>
      </c>
      <c r="D28" s="7" t="s">
        <v>881</v>
      </c>
      <c r="E28" s="7" t="s">
        <v>882</v>
      </c>
      <c r="F28" s="7" t="s">
        <v>883</v>
      </c>
      <c r="G28" s="7" t="s">
        <v>884</v>
      </c>
      <c r="H28" s="7" t="s">
        <v>885</v>
      </c>
      <c r="I28" s="7" t="s">
        <v>755</v>
      </c>
      <c r="J28" s="8" t="str">
        <f t="shared" si="0"/>
        <v>UNIQUE</v>
      </c>
      <c r="K28" s="8" t="str">
        <f t="shared" si="1"/>
        <v>COMPLETE</v>
      </c>
    </row>
    <row r="29" spans="1:11" ht="15" customHeight="1" x14ac:dyDescent="0.3">
      <c r="A29" s="7" t="s">
        <v>886</v>
      </c>
      <c r="B29" s="7" t="s">
        <v>802</v>
      </c>
      <c r="C29" s="7" t="s">
        <v>361</v>
      </c>
      <c r="D29" s="7" t="s">
        <v>887</v>
      </c>
      <c r="E29" s="7" t="s">
        <v>888</v>
      </c>
      <c r="F29" s="7" t="s">
        <v>889</v>
      </c>
      <c r="G29" s="7" t="s">
        <v>890</v>
      </c>
      <c r="H29" s="7" t="s">
        <v>819</v>
      </c>
      <c r="I29" s="7" t="s">
        <v>755</v>
      </c>
      <c r="J29" s="8" t="str">
        <f t="shared" si="0"/>
        <v>UNIQUE</v>
      </c>
      <c r="K29" s="8" t="str">
        <f t="shared" si="1"/>
        <v>COMPLETE</v>
      </c>
    </row>
    <row r="30" spans="1:11" ht="15" customHeight="1" x14ac:dyDescent="0.3">
      <c r="A30" s="7" t="s">
        <v>891</v>
      </c>
      <c r="B30" s="7" t="s">
        <v>802</v>
      </c>
      <c r="C30" s="7" t="s">
        <v>373</v>
      </c>
      <c r="D30" s="7" t="s">
        <v>892</v>
      </c>
      <c r="E30" s="7" t="s">
        <v>893</v>
      </c>
      <c r="F30" s="7" t="s">
        <v>894</v>
      </c>
      <c r="G30" s="7" t="s">
        <v>895</v>
      </c>
      <c r="H30" s="7" t="s">
        <v>896</v>
      </c>
      <c r="I30" s="7" t="s">
        <v>755</v>
      </c>
      <c r="J30" s="8" t="str">
        <f t="shared" si="0"/>
        <v>UNIQUE</v>
      </c>
      <c r="K30" s="8" t="str">
        <f t="shared" si="1"/>
        <v>COMPLETE</v>
      </c>
    </row>
    <row r="31" spans="1:11" ht="15" customHeight="1" x14ac:dyDescent="0.3">
      <c r="A31" s="7" t="s">
        <v>897</v>
      </c>
      <c r="B31" s="7" t="s">
        <v>802</v>
      </c>
      <c r="C31" s="7" t="s">
        <v>386</v>
      </c>
      <c r="D31" s="7" t="s">
        <v>898</v>
      </c>
      <c r="E31" s="7" t="s">
        <v>899</v>
      </c>
      <c r="F31" s="7" t="s">
        <v>900</v>
      </c>
      <c r="G31" s="7" t="s">
        <v>901</v>
      </c>
      <c r="H31" s="7" t="s">
        <v>902</v>
      </c>
      <c r="I31" s="7" t="s">
        <v>755</v>
      </c>
      <c r="J31" s="8" t="str">
        <f t="shared" si="0"/>
        <v>UNIQUE</v>
      </c>
      <c r="K31" s="8" t="str">
        <f t="shared" si="1"/>
        <v>COMPLETE</v>
      </c>
    </row>
    <row r="32" spans="1:11" ht="15" customHeight="1" x14ac:dyDescent="0.3">
      <c r="A32" s="7" t="s">
        <v>903</v>
      </c>
      <c r="B32" s="7" t="s">
        <v>802</v>
      </c>
      <c r="C32" s="7" t="s">
        <v>398</v>
      </c>
      <c r="D32" s="7" t="s">
        <v>904</v>
      </c>
      <c r="E32" s="7" t="s">
        <v>905</v>
      </c>
      <c r="F32" s="7" t="s">
        <v>906</v>
      </c>
      <c r="G32" s="7" t="s">
        <v>907</v>
      </c>
      <c r="H32" s="7" t="s">
        <v>908</v>
      </c>
      <c r="I32" s="7" t="s">
        <v>755</v>
      </c>
      <c r="J32" s="8" t="str">
        <f t="shared" si="0"/>
        <v>UNIQUE</v>
      </c>
      <c r="K32" s="8" t="str">
        <f t="shared" si="1"/>
        <v>COMPLETE</v>
      </c>
    </row>
    <row r="33" spans="1:11" ht="15" customHeight="1" x14ac:dyDescent="0.3">
      <c r="A33" s="7" t="s">
        <v>909</v>
      </c>
      <c r="B33" s="7" t="s">
        <v>802</v>
      </c>
      <c r="C33" s="7" t="s">
        <v>410</v>
      </c>
      <c r="D33" s="7" t="s">
        <v>910</v>
      </c>
      <c r="E33" s="7" t="s">
        <v>911</v>
      </c>
      <c r="F33" s="7" t="s">
        <v>912</v>
      </c>
      <c r="G33" s="7" t="s">
        <v>913</v>
      </c>
      <c r="H33" s="7" t="s">
        <v>914</v>
      </c>
      <c r="I33" s="7" t="s">
        <v>755</v>
      </c>
      <c r="J33" s="8" t="str">
        <f t="shared" si="0"/>
        <v>UNIQUE</v>
      </c>
      <c r="K33" s="8" t="str">
        <f t="shared" si="1"/>
        <v>COMPLETE</v>
      </c>
    </row>
    <row r="34" spans="1:11" ht="15" customHeight="1" x14ac:dyDescent="0.3">
      <c r="A34" s="7" t="s">
        <v>915</v>
      </c>
      <c r="B34" s="7" t="s">
        <v>802</v>
      </c>
      <c r="C34" s="7" t="s">
        <v>422</v>
      </c>
      <c r="D34" s="7" t="s">
        <v>916</v>
      </c>
      <c r="E34" s="7" t="s">
        <v>917</v>
      </c>
      <c r="F34" s="7" t="s">
        <v>918</v>
      </c>
      <c r="G34" s="7" t="s">
        <v>919</v>
      </c>
      <c r="H34" s="7" t="s">
        <v>920</v>
      </c>
      <c r="I34" s="7" t="s">
        <v>755</v>
      </c>
      <c r="J34" s="8" t="str">
        <f t="shared" si="0"/>
        <v>UNIQUE</v>
      </c>
      <c r="K34" s="8" t="str">
        <f t="shared" si="1"/>
        <v>COMPLETE</v>
      </c>
    </row>
    <row r="35" spans="1:11" ht="15" customHeight="1" x14ac:dyDescent="0.3">
      <c r="A35" s="7" t="s">
        <v>921</v>
      </c>
      <c r="B35" s="7" t="s">
        <v>802</v>
      </c>
      <c r="C35" s="7" t="s">
        <v>434</v>
      </c>
      <c r="D35" s="7" t="s">
        <v>922</v>
      </c>
      <c r="E35" s="7" t="s">
        <v>923</v>
      </c>
      <c r="F35" s="7" t="s">
        <v>924</v>
      </c>
      <c r="G35" s="7" t="s">
        <v>925</v>
      </c>
      <c r="H35" s="7" t="s">
        <v>926</v>
      </c>
      <c r="I35" s="7" t="s">
        <v>755</v>
      </c>
      <c r="J35" s="8" t="str">
        <f t="shared" si="0"/>
        <v>UNIQUE</v>
      </c>
      <c r="K35" s="8" t="str">
        <f t="shared" si="1"/>
        <v>COMPLETE</v>
      </c>
    </row>
    <row r="36" spans="1:11" ht="15" customHeight="1" x14ac:dyDescent="0.3">
      <c r="A36" s="7" t="s">
        <v>927</v>
      </c>
      <c r="B36" s="7" t="s">
        <v>802</v>
      </c>
      <c r="C36" s="7" t="s">
        <v>446</v>
      </c>
      <c r="D36" s="7" t="s">
        <v>928</v>
      </c>
      <c r="E36" s="7" t="s">
        <v>929</v>
      </c>
      <c r="F36" s="7" t="s">
        <v>930</v>
      </c>
      <c r="G36" s="7" t="s">
        <v>931</v>
      </c>
      <c r="H36" s="7" t="s">
        <v>932</v>
      </c>
      <c r="I36" s="7" t="s">
        <v>755</v>
      </c>
      <c r="J36" s="8" t="str">
        <f t="shared" si="0"/>
        <v>UNIQUE</v>
      </c>
      <c r="K36" s="8" t="str">
        <f t="shared" si="1"/>
        <v>COMPLETE</v>
      </c>
    </row>
    <row r="37" spans="1:11" ht="15" customHeight="1" x14ac:dyDescent="0.3">
      <c r="A37" s="7" t="s">
        <v>933</v>
      </c>
      <c r="B37" s="7" t="s">
        <v>802</v>
      </c>
      <c r="C37" s="7" t="s">
        <v>459</v>
      </c>
      <c r="D37" s="7" t="s">
        <v>934</v>
      </c>
      <c r="E37" s="7" t="s">
        <v>935</v>
      </c>
      <c r="F37" s="7" t="s">
        <v>936</v>
      </c>
      <c r="G37" s="7" t="s">
        <v>937</v>
      </c>
      <c r="H37" s="7" t="s">
        <v>938</v>
      </c>
      <c r="I37" s="7" t="s">
        <v>755</v>
      </c>
      <c r="J37" s="8" t="str">
        <f t="shared" ref="J37:J68" si="2">IF(A37="","",IF(COUNTIF($A$5:$A$84,A37)&gt;1,"DUPLICATE","UNIQUE"))</f>
        <v>UNIQUE</v>
      </c>
      <c r="K37" s="8" t="str">
        <f t="shared" ref="K37:K68" si="3">IF(A37="","",IF(AND(B37&lt;&gt;"",C37&lt;&gt;"",D37&lt;&gt;"",E37&lt;&gt;"",F37&lt;&gt;"",I37&lt;&gt;""),"COMPLETE","MISSING FIELDS"))</f>
        <v>COMPLETE</v>
      </c>
    </row>
    <row r="38" spans="1:11" ht="15" customHeight="1" x14ac:dyDescent="0.3">
      <c r="A38" s="7" t="s">
        <v>939</v>
      </c>
      <c r="B38" s="7" t="s">
        <v>802</v>
      </c>
      <c r="C38" s="7" t="s">
        <v>472</v>
      </c>
      <c r="D38" s="7" t="s">
        <v>940</v>
      </c>
      <c r="E38" s="7" t="s">
        <v>941</v>
      </c>
      <c r="F38" s="7" t="s">
        <v>942</v>
      </c>
      <c r="G38" s="7" t="s">
        <v>943</v>
      </c>
      <c r="H38" s="7" t="s">
        <v>944</v>
      </c>
      <c r="I38" s="7" t="s">
        <v>755</v>
      </c>
      <c r="J38" s="8" t="str">
        <f t="shared" si="2"/>
        <v>UNIQUE</v>
      </c>
      <c r="K38" s="8" t="str">
        <f t="shared" si="3"/>
        <v>COMPLETE</v>
      </c>
    </row>
    <row r="39" spans="1:11" ht="15" customHeight="1" x14ac:dyDescent="0.3">
      <c r="A39" s="7" t="s">
        <v>945</v>
      </c>
      <c r="B39" s="7" t="s">
        <v>802</v>
      </c>
      <c r="C39" s="7" t="s">
        <v>484</v>
      </c>
      <c r="D39" s="7" t="s">
        <v>946</v>
      </c>
      <c r="E39" s="7" t="s">
        <v>947</v>
      </c>
      <c r="F39" s="7" t="s">
        <v>948</v>
      </c>
      <c r="G39" s="7" t="s">
        <v>949</v>
      </c>
      <c r="H39" s="7" t="s">
        <v>950</v>
      </c>
      <c r="I39" s="7" t="s">
        <v>755</v>
      </c>
      <c r="J39" s="8" t="str">
        <f t="shared" si="2"/>
        <v>UNIQUE</v>
      </c>
      <c r="K39" s="8" t="str">
        <f t="shared" si="3"/>
        <v>COMPLETE</v>
      </c>
    </row>
    <row r="40" spans="1:11" ht="15" customHeight="1" x14ac:dyDescent="0.3">
      <c r="A40" s="7" t="s">
        <v>951</v>
      </c>
      <c r="B40" s="7" t="s">
        <v>802</v>
      </c>
      <c r="C40" s="7" t="s">
        <v>497</v>
      </c>
      <c r="D40" s="7" t="s">
        <v>952</v>
      </c>
      <c r="E40" s="7" t="s">
        <v>953</v>
      </c>
      <c r="F40" s="7" t="s">
        <v>954</v>
      </c>
      <c r="G40" s="7" t="s">
        <v>955</v>
      </c>
      <c r="H40" s="7" t="s">
        <v>867</v>
      </c>
      <c r="I40" s="7" t="s">
        <v>755</v>
      </c>
      <c r="J40" s="8" t="str">
        <f t="shared" si="2"/>
        <v>UNIQUE</v>
      </c>
      <c r="K40" s="8" t="str">
        <f t="shared" si="3"/>
        <v>COMPLETE</v>
      </c>
    </row>
    <row r="41" spans="1:11" ht="15" customHeight="1" x14ac:dyDescent="0.3">
      <c r="A41" s="7" t="s">
        <v>956</v>
      </c>
      <c r="B41" s="7" t="s">
        <v>802</v>
      </c>
      <c r="C41" s="7" t="s">
        <v>509</v>
      </c>
      <c r="D41" s="7" t="s">
        <v>957</v>
      </c>
      <c r="E41" s="7" t="s">
        <v>958</v>
      </c>
      <c r="F41" s="7" t="s">
        <v>959</v>
      </c>
      <c r="G41" s="7" t="s">
        <v>960</v>
      </c>
      <c r="H41" s="7" t="s">
        <v>849</v>
      </c>
      <c r="I41" s="7" t="s">
        <v>755</v>
      </c>
      <c r="J41" s="8" t="str">
        <f t="shared" si="2"/>
        <v>UNIQUE</v>
      </c>
      <c r="K41" s="8" t="str">
        <f t="shared" si="3"/>
        <v>COMPLETE</v>
      </c>
    </row>
    <row r="42" spans="1:11" ht="15" customHeight="1" x14ac:dyDescent="0.3">
      <c r="A42" s="7" t="s">
        <v>961</v>
      </c>
      <c r="B42" s="7" t="s">
        <v>802</v>
      </c>
      <c r="C42" s="7" t="s">
        <v>522</v>
      </c>
      <c r="D42" s="7" t="s">
        <v>962</v>
      </c>
      <c r="E42" s="7" t="s">
        <v>963</v>
      </c>
      <c r="F42" s="7" t="s">
        <v>964</v>
      </c>
      <c r="G42" s="7" t="s">
        <v>965</v>
      </c>
      <c r="H42" s="7" t="s">
        <v>819</v>
      </c>
      <c r="I42" s="7" t="s">
        <v>755</v>
      </c>
      <c r="J42" s="8" t="str">
        <f t="shared" si="2"/>
        <v>UNIQUE</v>
      </c>
      <c r="K42" s="8" t="str">
        <f t="shared" si="3"/>
        <v>COMPLETE</v>
      </c>
    </row>
    <row r="43" spans="1:11" ht="15" customHeight="1" x14ac:dyDescent="0.3">
      <c r="A43" s="7" t="s">
        <v>966</v>
      </c>
      <c r="B43" s="7" t="s">
        <v>802</v>
      </c>
      <c r="C43" s="7" t="s">
        <v>535</v>
      </c>
      <c r="D43" s="7" t="s">
        <v>967</v>
      </c>
      <c r="E43" s="7" t="s">
        <v>968</v>
      </c>
      <c r="F43" s="7" t="s">
        <v>969</v>
      </c>
      <c r="G43" s="7" t="s">
        <v>970</v>
      </c>
      <c r="H43" s="7" t="s">
        <v>971</v>
      </c>
      <c r="I43" s="7" t="s">
        <v>755</v>
      </c>
      <c r="J43" s="8" t="str">
        <f t="shared" si="2"/>
        <v>UNIQUE</v>
      </c>
      <c r="K43" s="8" t="str">
        <f t="shared" si="3"/>
        <v>COMPLETE</v>
      </c>
    </row>
    <row r="44" spans="1:11" ht="15" customHeight="1" x14ac:dyDescent="0.3">
      <c r="A44" s="7" t="s">
        <v>972</v>
      </c>
      <c r="B44" s="7" t="s">
        <v>802</v>
      </c>
      <c r="C44" s="7" t="s">
        <v>548</v>
      </c>
      <c r="D44" s="7" t="s">
        <v>973</v>
      </c>
      <c r="E44" s="7" t="s">
        <v>974</v>
      </c>
      <c r="F44" s="7" t="s">
        <v>975</v>
      </c>
      <c r="G44" s="7" t="s">
        <v>976</v>
      </c>
      <c r="H44" s="7" t="s">
        <v>977</v>
      </c>
      <c r="I44" s="7" t="s">
        <v>755</v>
      </c>
      <c r="J44" s="8" t="str">
        <f t="shared" si="2"/>
        <v>UNIQUE</v>
      </c>
      <c r="K44" s="8" t="str">
        <f t="shared" si="3"/>
        <v>COMPLETE</v>
      </c>
    </row>
    <row r="45" spans="1:11" ht="15" customHeight="1" x14ac:dyDescent="0.3">
      <c r="A45" s="7"/>
      <c r="B45" s="7"/>
      <c r="C45" s="7"/>
      <c r="D45" s="7"/>
      <c r="E45" s="7"/>
      <c r="F45" s="7"/>
      <c r="G45" s="7"/>
      <c r="H45" s="7"/>
      <c r="I45" s="7"/>
      <c r="J45" s="8" t="str">
        <f t="shared" si="2"/>
        <v/>
      </c>
      <c r="K45" s="8" t="str">
        <f t="shared" si="3"/>
        <v/>
      </c>
    </row>
    <row r="46" spans="1:11" ht="15" customHeight="1" x14ac:dyDescent="0.3">
      <c r="A46" s="7"/>
      <c r="B46" s="7"/>
      <c r="C46" s="7"/>
      <c r="D46" s="7"/>
      <c r="E46" s="7"/>
      <c r="F46" s="7"/>
      <c r="G46" s="7"/>
      <c r="H46" s="7"/>
      <c r="I46" s="7"/>
      <c r="J46" s="8" t="str">
        <f t="shared" si="2"/>
        <v/>
      </c>
      <c r="K46" s="8" t="str">
        <f t="shared" si="3"/>
        <v/>
      </c>
    </row>
    <row r="47" spans="1:11" ht="15" customHeight="1" x14ac:dyDescent="0.3">
      <c r="A47" s="7"/>
      <c r="B47" s="7"/>
      <c r="C47" s="7"/>
      <c r="D47" s="7"/>
      <c r="E47" s="7"/>
      <c r="F47" s="7"/>
      <c r="G47" s="7"/>
      <c r="H47" s="7"/>
      <c r="I47" s="7"/>
      <c r="J47" s="8" t="str">
        <f t="shared" si="2"/>
        <v/>
      </c>
      <c r="K47" s="8" t="str">
        <f t="shared" si="3"/>
        <v/>
      </c>
    </row>
    <row r="48" spans="1:11" ht="15" customHeight="1" x14ac:dyDescent="0.3">
      <c r="A48" s="7"/>
      <c r="B48" s="7"/>
      <c r="C48" s="7"/>
      <c r="D48" s="7"/>
      <c r="E48" s="7"/>
      <c r="F48" s="7"/>
      <c r="G48" s="7"/>
      <c r="H48" s="7"/>
      <c r="I48" s="7"/>
      <c r="J48" s="8" t="str">
        <f t="shared" si="2"/>
        <v/>
      </c>
      <c r="K48" s="8" t="str">
        <f t="shared" si="3"/>
        <v/>
      </c>
    </row>
    <row r="49" spans="1:11" ht="15" customHeight="1" x14ac:dyDescent="0.3">
      <c r="A49" s="7"/>
      <c r="B49" s="7"/>
      <c r="C49" s="7"/>
      <c r="D49" s="7"/>
      <c r="E49" s="7"/>
      <c r="F49" s="7"/>
      <c r="G49" s="7"/>
      <c r="H49" s="7"/>
      <c r="I49" s="7"/>
      <c r="J49" s="8" t="str">
        <f t="shared" si="2"/>
        <v/>
      </c>
      <c r="K49" s="8" t="str">
        <f t="shared" si="3"/>
        <v/>
      </c>
    </row>
    <row r="50" spans="1:11" ht="15" customHeight="1" x14ac:dyDescent="0.3">
      <c r="A50" s="7"/>
      <c r="B50" s="7"/>
      <c r="C50" s="7"/>
      <c r="D50" s="7"/>
      <c r="E50" s="7"/>
      <c r="F50" s="7"/>
      <c r="G50" s="7"/>
      <c r="H50" s="7"/>
      <c r="I50" s="7"/>
      <c r="J50" s="8" t="str">
        <f t="shared" si="2"/>
        <v/>
      </c>
      <c r="K50" s="8" t="str">
        <f t="shared" si="3"/>
        <v/>
      </c>
    </row>
    <row r="51" spans="1:11" ht="15" customHeight="1" x14ac:dyDescent="0.3">
      <c r="A51" s="7"/>
      <c r="B51" s="7"/>
      <c r="C51" s="7"/>
      <c r="D51" s="7"/>
      <c r="E51" s="7"/>
      <c r="F51" s="7"/>
      <c r="G51" s="7"/>
      <c r="H51" s="7"/>
      <c r="I51" s="7"/>
      <c r="J51" s="8" t="str">
        <f t="shared" si="2"/>
        <v/>
      </c>
      <c r="K51" s="8" t="str">
        <f t="shared" si="3"/>
        <v/>
      </c>
    </row>
    <row r="52" spans="1:11" ht="15" customHeight="1" x14ac:dyDescent="0.3">
      <c r="A52" s="7"/>
      <c r="B52" s="7"/>
      <c r="C52" s="7"/>
      <c r="D52" s="7"/>
      <c r="E52" s="7"/>
      <c r="F52" s="7"/>
      <c r="G52" s="7"/>
      <c r="H52" s="7"/>
      <c r="I52" s="7"/>
      <c r="J52" s="8" t="str">
        <f t="shared" si="2"/>
        <v/>
      </c>
      <c r="K52" s="8" t="str">
        <f t="shared" si="3"/>
        <v/>
      </c>
    </row>
    <row r="53" spans="1:11" ht="15" customHeight="1" x14ac:dyDescent="0.3">
      <c r="A53" s="7"/>
      <c r="B53" s="7"/>
      <c r="C53" s="7"/>
      <c r="D53" s="7"/>
      <c r="E53" s="7"/>
      <c r="F53" s="7"/>
      <c r="G53" s="7"/>
      <c r="H53" s="7"/>
      <c r="I53" s="7"/>
      <c r="J53" s="8" t="str">
        <f t="shared" si="2"/>
        <v/>
      </c>
      <c r="K53" s="8" t="str">
        <f t="shared" si="3"/>
        <v/>
      </c>
    </row>
    <row r="54" spans="1:11" ht="15" customHeight="1" x14ac:dyDescent="0.3">
      <c r="A54" s="7"/>
      <c r="B54" s="7"/>
      <c r="C54" s="7"/>
      <c r="D54" s="7"/>
      <c r="E54" s="7"/>
      <c r="F54" s="7"/>
      <c r="G54" s="7"/>
      <c r="H54" s="7"/>
      <c r="I54" s="7"/>
      <c r="J54" s="8" t="str">
        <f t="shared" si="2"/>
        <v/>
      </c>
      <c r="K54" s="8" t="str">
        <f t="shared" si="3"/>
        <v/>
      </c>
    </row>
    <row r="55" spans="1:11" ht="15" customHeight="1" x14ac:dyDescent="0.3">
      <c r="A55" s="7"/>
      <c r="B55" s="7"/>
      <c r="C55" s="7"/>
      <c r="D55" s="7"/>
      <c r="E55" s="7"/>
      <c r="F55" s="7"/>
      <c r="G55" s="7"/>
      <c r="H55" s="7"/>
      <c r="I55" s="7"/>
      <c r="J55" s="8" t="str">
        <f t="shared" si="2"/>
        <v/>
      </c>
      <c r="K55" s="8" t="str">
        <f t="shared" si="3"/>
        <v/>
      </c>
    </row>
    <row r="56" spans="1:11" ht="15" customHeight="1" x14ac:dyDescent="0.3">
      <c r="A56" s="7"/>
      <c r="B56" s="7"/>
      <c r="C56" s="7"/>
      <c r="D56" s="7"/>
      <c r="E56" s="7"/>
      <c r="F56" s="7"/>
      <c r="G56" s="7"/>
      <c r="H56" s="7"/>
      <c r="I56" s="7"/>
      <c r="J56" s="8" t="str">
        <f t="shared" si="2"/>
        <v/>
      </c>
      <c r="K56" s="8" t="str">
        <f t="shared" si="3"/>
        <v/>
      </c>
    </row>
    <row r="57" spans="1:11" ht="15" customHeight="1" x14ac:dyDescent="0.3">
      <c r="A57" s="7"/>
      <c r="B57" s="7"/>
      <c r="C57" s="7"/>
      <c r="D57" s="7"/>
      <c r="E57" s="7"/>
      <c r="F57" s="7"/>
      <c r="G57" s="7"/>
      <c r="H57" s="7"/>
      <c r="I57" s="7"/>
      <c r="J57" s="8" t="str">
        <f t="shared" si="2"/>
        <v/>
      </c>
      <c r="K57" s="8" t="str">
        <f t="shared" si="3"/>
        <v/>
      </c>
    </row>
    <row r="58" spans="1:11" ht="15" customHeight="1" x14ac:dyDescent="0.3">
      <c r="A58" s="7"/>
      <c r="B58" s="7"/>
      <c r="C58" s="7"/>
      <c r="D58" s="7"/>
      <c r="E58" s="7"/>
      <c r="F58" s="7"/>
      <c r="G58" s="7"/>
      <c r="H58" s="7"/>
      <c r="I58" s="7"/>
      <c r="J58" s="8" t="str">
        <f t="shared" si="2"/>
        <v/>
      </c>
      <c r="K58" s="8" t="str">
        <f t="shared" si="3"/>
        <v/>
      </c>
    </row>
    <row r="59" spans="1:11" ht="15" customHeight="1" x14ac:dyDescent="0.3">
      <c r="A59" s="7"/>
      <c r="B59" s="7"/>
      <c r="C59" s="7"/>
      <c r="D59" s="7"/>
      <c r="E59" s="7"/>
      <c r="F59" s="7"/>
      <c r="G59" s="7"/>
      <c r="H59" s="7"/>
      <c r="I59" s="7"/>
      <c r="J59" s="8" t="str">
        <f t="shared" si="2"/>
        <v/>
      </c>
      <c r="K59" s="8" t="str">
        <f t="shared" si="3"/>
        <v/>
      </c>
    </row>
    <row r="60" spans="1:11" ht="15" customHeight="1" x14ac:dyDescent="0.3">
      <c r="A60" s="7"/>
      <c r="B60" s="7"/>
      <c r="C60" s="7"/>
      <c r="D60" s="7"/>
      <c r="E60" s="7"/>
      <c r="F60" s="7"/>
      <c r="G60" s="7"/>
      <c r="H60" s="7"/>
      <c r="I60" s="7"/>
      <c r="J60" s="8" t="str">
        <f t="shared" si="2"/>
        <v/>
      </c>
      <c r="K60" s="8" t="str">
        <f t="shared" si="3"/>
        <v/>
      </c>
    </row>
    <row r="61" spans="1:11" ht="15" customHeight="1" x14ac:dyDescent="0.3">
      <c r="A61" s="7"/>
      <c r="B61" s="7"/>
      <c r="C61" s="7"/>
      <c r="D61" s="7"/>
      <c r="E61" s="7"/>
      <c r="F61" s="7"/>
      <c r="G61" s="7"/>
      <c r="H61" s="7"/>
      <c r="I61" s="7"/>
      <c r="J61" s="8" t="str">
        <f t="shared" si="2"/>
        <v/>
      </c>
      <c r="K61" s="8" t="str">
        <f t="shared" si="3"/>
        <v/>
      </c>
    </row>
    <row r="62" spans="1:11" ht="15" customHeight="1" x14ac:dyDescent="0.3">
      <c r="A62" s="7"/>
      <c r="B62" s="7"/>
      <c r="C62" s="7"/>
      <c r="D62" s="7"/>
      <c r="E62" s="7"/>
      <c r="F62" s="7"/>
      <c r="G62" s="7"/>
      <c r="H62" s="7"/>
      <c r="I62" s="7"/>
      <c r="J62" s="8" t="str">
        <f t="shared" si="2"/>
        <v/>
      </c>
      <c r="K62" s="8" t="str">
        <f t="shared" si="3"/>
        <v/>
      </c>
    </row>
    <row r="63" spans="1:11" ht="15" customHeight="1" x14ac:dyDescent="0.3">
      <c r="A63" s="7"/>
      <c r="B63" s="7"/>
      <c r="C63" s="7"/>
      <c r="D63" s="7"/>
      <c r="E63" s="7"/>
      <c r="F63" s="7"/>
      <c r="G63" s="7"/>
      <c r="H63" s="7"/>
      <c r="I63" s="7"/>
      <c r="J63" s="8" t="str">
        <f t="shared" si="2"/>
        <v/>
      </c>
      <c r="K63" s="8" t="str">
        <f t="shared" si="3"/>
        <v/>
      </c>
    </row>
    <row r="64" spans="1:11" ht="15" customHeight="1" x14ac:dyDescent="0.3">
      <c r="A64" s="7"/>
      <c r="B64" s="7"/>
      <c r="C64" s="7"/>
      <c r="D64" s="7"/>
      <c r="E64" s="7"/>
      <c r="F64" s="7"/>
      <c r="G64" s="7"/>
      <c r="H64" s="7"/>
      <c r="I64" s="7"/>
      <c r="J64" s="8" t="str">
        <f t="shared" si="2"/>
        <v/>
      </c>
      <c r="K64" s="8" t="str">
        <f t="shared" si="3"/>
        <v/>
      </c>
    </row>
    <row r="65" spans="1:11" ht="15" customHeight="1" x14ac:dyDescent="0.3">
      <c r="A65" s="7"/>
      <c r="B65" s="7"/>
      <c r="C65" s="7"/>
      <c r="D65" s="7"/>
      <c r="E65" s="7"/>
      <c r="F65" s="7"/>
      <c r="G65" s="7"/>
      <c r="H65" s="7"/>
      <c r="I65" s="7"/>
      <c r="J65" s="8" t="str">
        <f t="shared" si="2"/>
        <v/>
      </c>
      <c r="K65" s="8" t="str">
        <f t="shared" si="3"/>
        <v/>
      </c>
    </row>
    <row r="66" spans="1:11" ht="15" customHeight="1" x14ac:dyDescent="0.3">
      <c r="A66" s="7"/>
      <c r="B66" s="7"/>
      <c r="C66" s="7"/>
      <c r="D66" s="7"/>
      <c r="E66" s="7"/>
      <c r="F66" s="7"/>
      <c r="G66" s="7"/>
      <c r="H66" s="7"/>
      <c r="I66" s="7"/>
      <c r="J66" s="8" t="str">
        <f t="shared" si="2"/>
        <v/>
      </c>
      <c r="K66" s="8" t="str">
        <f t="shared" si="3"/>
        <v/>
      </c>
    </row>
    <row r="67" spans="1:11" ht="15" customHeight="1" x14ac:dyDescent="0.3">
      <c r="A67" s="7"/>
      <c r="B67" s="7"/>
      <c r="C67" s="7"/>
      <c r="D67" s="7"/>
      <c r="E67" s="7"/>
      <c r="F67" s="7"/>
      <c r="G67" s="7"/>
      <c r="H67" s="7"/>
      <c r="I67" s="7"/>
      <c r="J67" s="8" t="str">
        <f t="shared" si="2"/>
        <v/>
      </c>
      <c r="K67" s="8" t="str">
        <f t="shared" si="3"/>
        <v/>
      </c>
    </row>
    <row r="68" spans="1:11" ht="15" customHeight="1" x14ac:dyDescent="0.3">
      <c r="A68" s="7"/>
      <c r="B68" s="7"/>
      <c r="C68" s="7"/>
      <c r="D68" s="7"/>
      <c r="E68" s="7"/>
      <c r="F68" s="7"/>
      <c r="G68" s="7"/>
      <c r="H68" s="7"/>
      <c r="I68" s="7"/>
      <c r="J68" s="8" t="str">
        <f t="shared" si="2"/>
        <v/>
      </c>
      <c r="K68" s="8" t="str">
        <f t="shared" si="3"/>
        <v/>
      </c>
    </row>
    <row r="69" spans="1:11" ht="15" customHeight="1" x14ac:dyDescent="0.3">
      <c r="A69" s="7"/>
      <c r="B69" s="7"/>
      <c r="C69" s="7"/>
      <c r="D69" s="7"/>
      <c r="E69" s="7"/>
      <c r="F69" s="7"/>
      <c r="G69" s="7"/>
      <c r="H69" s="7"/>
      <c r="I69" s="7"/>
      <c r="J69" s="8" t="str">
        <f t="shared" ref="J69:J84" si="4">IF(A69="","",IF(COUNTIF($A$5:$A$84,A69)&gt;1,"DUPLICATE","UNIQUE"))</f>
        <v/>
      </c>
      <c r="K69" s="8" t="str">
        <f t="shared" ref="K69:K84" si="5">IF(A69="","",IF(AND(B69&lt;&gt;"",C69&lt;&gt;"",D69&lt;&gt;"",E69&lt;&gt;"",F69&lt;&gt;"",I69&lt;&gt;""),"COMPLETE","MISSING FIELDS"))</f>
        <v/>
      </c>
    </row>
    <row r="70" spans="1:11" ht="15" customHeight="1" x14ac:dyDescent="0.3">
      <c r="A70" s="7"/>
      <c r="B70" s="7"/>
      <c r="C70" s="7"/>
      <c r="D70" s="7"/>
      <c r="E70" s="7"/>
      <c r="F70" s="7"/>
      <c r="G70" s="7"/>
      <c r="H70" s="7"/>
      <c r="I70" s="7"/>
      <c r="J70" s="8" t="str">
        <f t="shared" si="4"/>
        <v/>
      </c>
      <c r="K70" s="8" t="str">
        <f t="shared" si="5"/>
        <v/>
      </c>
    </row>
    <row r="71" spans="1:11" ht="15" customHeight="1" x14ac:dyDescent="0.3">
      <c r="A71" s="7"/>
      <c r="B71" s="7"/>
      <c r="C71" s="7"/>
      <c r="D71" s="7"/>
      <c r="E71" s="7"/>
      <c r="F71" s="7"/>
      <c r="G71" s="7"/>
      <c r="H71" s="7"/>
      <c r="I71" s="7"/>
      <c r="J71" s="8" t="str">
        <f t="shared" si="4"/>
        <v/>
      </c>
      <c r="K71" s="8" t="str">
        <f t="shared" si="5"/>
        <v/>
      </c>
    </row>
    <row r="72" spans="1:11" ht="15" customHeight="1" x14ac:dyDescent="0.3">
      <c r="A72" s="7"/>
      <c r="B72" s="7"/>
      <c r="C72" s="7"/>
      <c r="D72" s="7"/>
      <c r="E72" s="7"/>
      <c r="F72" s="7"/>
      <c r="G72" s="7"/>
      <c r="H72" s="7"/>
      <c r="I72" s="7"/>
      <c r="J72" s="8" t="str">
        <f t="shared" si="4"/>
        <v/>
      </c>
      <c r="K72" s="8" t="str">
        <f t="shared" si="5"/>
        <v/>
      </c>
    </row>
    <row r="73" spans="1:11" ht="15" customHeight="1" x14ac:dyDescent="0.3">
      <c r="A73" s="7"/>
      <c r="B73" s="7"/>
      <c r="C73" s="7"/>
      <c r="D73" s="7"/>
      <c r="E73" s="7"/>
      <c r="F73" s="7"/>
      <c r="G73" s="7"/>
      <c r="H73" s="7"/>
      <c r="I73" s="7"/>
      <c r="J73" s="8" t="str">
        <f t="shared" si="4"/>
        <v/>
      </c>
      <c r="K73" s="8" t="str">
        <f t="shared" si="5"/>
        <v/>
      </c>
    </row>
    <row r="74" spans="1:11" ht="15" customHeight="1" x14ac:dyDescent="0.3">
      <c r="A74" s="7"/>
      <c r="B74" s="7"/>
      <c r="C74" s="7"/>
      <c r="D74" s="7"/>
      <c r="E74" s="7"/>
      <c r="F74" s="7"/>
      <c r="G74" s="7"/>
      <c r="H74" s="7"/>
      <c r="I74" s="7"/>
      <c r="J74" s="8" t="str">
        <f t="shared" si="4"/>
        <v/>
      </c>
      <c r="K74" s="8" t="str">
        <f t="shared" si="5"/>
        <v/>
      </c>
    </row>
    <row r="75" spans="1:11" ht="15" customHeight="1" x14ac:dyDescent="0.3">
      <c r="A75" s="7"/>
      <c r="B75" s="7"/>
      <c r="C75" s="7"/>
      <c r="D75" s="7"/>
      <c r="E75" s="7"/>
      <c r="F75" s="7"/>
      <c r="G75" s="7"/>
      <c r="H75" s="7"/>
      <c r="I75" s="7"/>
      <c r="J75" s="8" t="str">
        <f t="shared" si="4"/>
        <v/>
      </c>
      <c r="K75" s="8" t="str">
        <f t="shared" si="5"/>
        <v/>
      </c>
    </row>
    <row r="76" spans="1:11" ht="15" customHeight="1" x14ac:dyDescent="0.3">
      <c r="A76" s="7"/>
      <c r="B76" s="7"/>
      <c r="C76" s="7"/>
      <c r="D76" s="7"/>
      <c r="E76" s="7"/>
      <c r="F76" s="7"/>
      <c r="G76" s="7"/>
      <c r="H76" s="7"/>
      <c r="I76" s="7"/>
      <c r="J76" s="8" t="str">
        <f t="shared" si="4"/>
        <v/>
      </c>
      <c r="K76" s="8" t="str">
        <f t="shared" si="5"/>
        <v/>
      </c>
    </row>
    <row r="77" spans="1:11" ht="15" customHeight="1" x14ac:dyDescent="0.3">
      <c r="A77" s="7"/>
      <c r="B77" s="7"/>
      <c r="C77" s="7"/>
      <c r="D77" s="7"/>
      <c r="E77" s="7"/>
      <c r="F77" s="7"/>
      <c r="G77" s="7"/>
      <c r="H77" s="7"/>
      <c r="I77" s="7"/>
      <c r="J77" s="8" t="str">
        <f t="shared" si="4"/>
        <v/>
      </c>
      <c r="K77" s="8" t="str">
        <f t="shared" si="5"/>
        <v/>
      </c>
    </row>
    <row r="78" spans="1:11" ht="15" customHeight="1" x14ac:dyDescent="0.3">
      <c r="A78" s="7"/>
      <c r="B78" s="7"/>
      <c r="C78" s="7"/>
      <c r="D78" s="7"/>
      <c r="E78" s="7"/>
      <c r="F78" s="7"/>
      <c r="G78" s="7"/>
      <c r="H78" s="7"/>
      <c r="I78" s="7"/>
      <c r="J78" s="8" t="str">
        <f t="shared" si="4"/>
        <v/>
      </c>
      <c r="K78" s="8" t="str">
        <f t="shared" si="5"/>
        <v/>
      </c>
    </row>
    <row r="79" spans="1:11" ht="15" customHeight="1" x14ac:dyDescent="0.3">
      <c r="A79" s="7"/>
      <c r="B79" s="7"/>
      <c r="C79" s="7"/>
      <c r="D79" s="7"/>
      <c r="E79" s="7"/>
      <c r="F79" s="7"/>
      <c r="G79" s="7"/>
      <c r="H79" s="7"/>
      <c r="I79" s="7"/>
      <c r="J79" s="8" t="str">
        <f t="shared" si="4"/>
        <v/>
      </c>
      <c r="K79" s="8" t="str">
        <f t="shared" si="5"/>
        <v/>
      </c>
    </row>
    <row r="80" spans="1:11" ht="15" customHeight="1" x14ac:dyDescent="0.3">
      <c r="A80" s="7"/>
      <c r="B80" s="7"/>
      <c r="C80" s="7"/>
      <c r="D80" s="7"/>
      <c r="E80" s="7"/>
      <c r="F80" s="7"/>
      <c r="G80" s="7"/>
      <c r="H80" s="7"/>
      <c r="I80" s="7"/>
      <c r="J80" s="8" t="str">
        <f t="shared" si="4"/>
        <v/>
      </c>
      <c r="K80" s="8" t="str">
        <f t="shared" si="5"/>
        <v/>
      </c>
    </row>
    <row r="81" spans="1:11" ht="15" customHeight="1" x14ac:dyDescent="0.3">
      <c r="A81" s="7"/>
      <c r="B81" s="7"/>
      <c r="C81" s="7"/>
      <c r="D81" s="7"/>
      <c r="E81" s="7"/>
      <c r="F81" s="7"/>
      <c r="G81" s="7"/>
      <c r="H81" s="7"/>
      <c r="I81" s="7"/>
      <c r="J81" s="8" t="str">
        <f t="shared" si="4"/>
        <v/>
      </c>
      <c r="K81" s="8" t="str">
        <f t="shared" si="5"/>
        <v/>
      </c>
    </row>
    <row r="82" spans="1:11" ht="15" customHeight="1" x14ac:dyDescent="0.3">
      <c r="A82" s="7"/>
      <c r="B82" s="7"/>
      <c r="C82" s="7"/>
      <c r="D82" s="7"/>
      <c r="E82" s="7"/>
      <c r="F82" s="7"/>
      <c r="G82" s="7"/>
      <c r="H82" s="7"/>
      <c r="I82" s="7"/>
      <c r="J82" s="8" t="str">
        <f t="shared" si="4"/>
        <v/>
      </c>
      <c r="K82" s="8" t="str">
        <f t="shared" si="5"/>
        <v/>
      </c>
    </row>
    <row r="83" spans="1:11" ht="15" customHeight="1" x14ac:dyDescent="0.3">
      <c r="A83" s="7"/>
      <c r="B83" s="7"/>
      <c r="C83" s="7"/>
      <c r="D83" s="7"/>
      <c r="E83" s="7"/>
      <c r="F83" s="7"/>
      <c r="G83" s="7"/>
      <c r="H83" s="7"/>
      <c r="I83" s="7"/>
      <c r="J83" s="8" t="str">
        <f t="shared" si="4"/>
        <v/>
      </c>
      <c r="K83" s="8" t="str">
        <f t="shared" si="5"/>
        <v/>
      </c>
    </row>
    <row r="84" spans="1:11" ht="15" customHeight="1" x14ac:dyDescent="0.3">
      <c r="A84" s="7"/>
      <c r="B84" s="7"/>
      <c r="C84" s="7"/>
      <c r="D84" s="7"/>
      <c r="E84" s="7"/>
      <c r="F84" s="7"/>
      <c r="G84" s="7"/>
      <c r="H84" s="7"/>
      <c r="I84" s="7"/>
      <c r="J84" s="8" t="str">
        <f t="shared" si="4"/>
        <v/>
      </c>
      <c r="K84" s="8" t="str">
        <f t="shared" si="5"/>
        <v/>
      </c>
    </row>
  </sheetData>
  <mergeCells count="2">
    <mergeCell ref="A2:K2"/>
    <mergeCell ref="A1:K1"/>
  </mergeCells>
  <conditionalFormatting sqref="J5:K84">
    <cfRule type="expression" dxfId="2" priority="2">
      <formula>OR(J5="DUPLICATE",K5="MISSING FIELDS",K5="ADD REASON")</formula>
    </cfRule>
  </conditionalFormatting>
  <dataValidations count="2">
    <dataValidation type="list" allowBlank="1" sqref="B5:B84" xr:uid="{00000000-0002-0000-0400-000000000000}">
      <formula1>"Page,Citation target"</formula1>
      <formula2>0</formula2>
    </dataValidation>
    <dataValidation type="list" allowBlank="1" sqref="I5:I84" xr:uid="{00000000-0002-0000-0400-000001000000}">
      <formula1>"Ready,Draft"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1"/>
  <sheetViews>
    <sheetView showGridLines="0" zoomScaleNormal="100" workbookViewId="0"/>
  </sheetViews>
  <sheetFormatPr defaultColWidth="8.6640625" defaultRowHeight="14.4" x14ac:dyDescent="0.3"/>
  <cols>
    <col min="1" max="1" width="40" customWidth="1"/>
    <col min="2" max="2" width="14" customWidth="1"/>
    <col min="3" max="3" width="40" customWidth="1"/>
    <col min="4" max="7" width="14" customWidth="1"/>
    <col min="8" max="8" width="30" customWidth="1"/>
  </cols>
  <sheetData>
    <row r="1" spans="1:8" ht="24" customHeight="1" x14ac:dyDescent="0.3">
      <c r="A1" s="15" t="s">
        <v>978</v>
      </c>
      <c r="B1" s="14"/>
      <c r="C1" s="14"/>
      <c r="D1" s="14"/>
      <c r="E1" s="14"/>
      <c r="F1" s="14"/>
      <c r="G1" s="14"/>
      <c r="H1" s="12"/>
    </row>
    <row r="2" spans="1:8" ht="31.5" customHeight="1" x14ac:dyDescent="0.3">
      <c r="A2" s="13" t="s">
        <v>979</v>
      </c>
      <c r="B2" s="14"/>
      <c r="C2" s="14"/>
      <c r="D2" s="14"/>
      <c r="E2" s="14"/>
      <c r="F2" s="14"/>
      <c r="G2" s="14"/>
      <c r="H2" s="12"/>
    </row>
    <row r="4" spans="1:8" ht="15" customHeight="1" x14ac:dyDescent="0.3">
      <c r="A4" s="11" t="s">
        <v>980</v>
      </c>
      <c r="B4" s="14"/>
      <c r="C4" s="14"/>
      <c r="D4" s="14"/>
      <c r="E4" s="14"/>
      <c r="F4" s="14"/>
      <c r="G4" s="14"/>
      <c r="H4" s="12"/>
    </row>
    <row r="5" spans="1:8" ht="30" customHeight="1" x14ac:dyDescent="0.3">
      <c r="A5" s="1" t="s">
        <v>981</v>
      </c>
      <c r="B5" s="1" t="s">
        <v>982</v>
      </c>
      <c r="C5" s="1" t="s">
        <v>983</v>
      </c>
      <c r="D5" s="1"/>
      <c r="E5" s="1"/>
      <c r="F5" s="1"/>
      <c r="G5" s="1"/>
      <c r="H5" s="1" t="s">
        <v>984</v>
      </c>
    </row>
    <row r="6" spans="1:8" ht="15" customHeight="1" x14ac:dyDescent="0.3">
      <c r="A6" s="4" t="s">
        <v>985</v>
      </c>
      <c r="B6" s="3" t="s">
        <v>986</v>
      </c>
      <c r="C6" s="3" t="s">
        <v>987</v>
      </c>
      <c r="H6" s="3" t="s">
        <v>988</v>
      </c>
    </row>
    <row r="7" spans="1:8" ht="15" customHeight="1" x14ac:dyDescent="0.3">
      <c r="A7" s="4" t="s">
        <v>989</v>
      </c>
      <c r="B7" s="3" t="s">
        <v>986</v>
      </c>
      <c r="C7" s="3" t="s">
        <v>990</v>
      </c>
      <c r="H7" s="3" t="s">
        <v>991</v>
      </c>
    </row>
    <row r="8" spans="1:8" ht="15" customHeight="1" x14ac:dyDescent="0.3">
      <c r="A8" s="4" t="s">
        <v>992</v>
      </c>
      <c r="B8" s="3" t="s">
        <v>986</v>
      </c>
      <c r="C8" s="3" t="s">
        <v>993</v>
      </c>
      <c r="H8" s="3" t="s">
        <v>994</v>
      </c>
    </row>
    <row r="9" spans="1:8" ht="15" customHeight="1" x14ac:dyDescent="0.3">
      <c r="A9" s="4" t="s">
        <v>995</v>
      </c>
      <c r="B9" s="3" t="s">
        <v>986</v>
      </c>
      <c r="C9" s="3" t="s">
        <v>996</v>
      </c>
      <c r="H9" s="3" t="s">
        <v>997</v>
      </c>
    </row>
    <row r="10" spans="1:8" ht="15" customHeight="1" x14ac:dyDescent="0.3">
      <c r="A10" s="4" t="s">
        <v>998</v>
      </c>
      <c r="B10" s="3" t="s">
        <v>986</v>
      </c>
      <c r="C10" s="3" t="s">
        <v>999</v>
      </c>
      <c r="H10" s="3" t="s">
        <v>1000</v>
      </c>
    </row>
    <row r="11" spans="1:8" ht="23.85" customHeight="1" x14ac:dyDescent="0.3">
      <c r="A11" s="4" t="s">
        <v>1001</v>
      </c>
      <c r="B11" s="3" t="s">
        <v>986</v>
      </c>
      <c r="C11" s="3" t="s">
        <v>1002</v>
      </c>
      <c r="H11" s="3" t="s">
        <v>1003</v>
      </c>
    </row>
    <row r="12" spans="1:8" ht="15" customHeight="1" x14ac:dyDescent="0.3">
      <c r="A12" s="4" t="s">
        <v>1004</v>
      </c>
      <c r="B12" s="3" t="s">
        <v>986</v>
      </c>
      <c r="C12" s="3" t="s">
        <v>1005</v>
      </c>
      <c r="H12" s="3" t="s">
        <v>1006</v>
      </c>
    </row>
    <row r="13" spans="1:8" ht="15" customHeight="1" x14ac:dyDescent="0.3">
      <c r="A13" s="4" t="s">
        <v>1007</v>
      </c>
      <c r="B13" s="3" t="s">
        <v>986</v>
      </c>
      <c r="C13" s="3" t="s">
        <v>1008</v>
      </c>
      <c r="H13" s="3" t="s">
        <v>1009</v>
      </c>
    </row>
    <row r="14" spans="1:8" ht="15" customHeight="1" x14ac:dyDescent="0.3">
      <c r="A14" s="4" t="s">
        <v>1010</v>
      </c>
      <c r="B14" s="3" t="s">
        <v>986</v>
      </c>
      <c r="C14" s="3" t="s">
        <v>1011</v>
      </c>
      <c r="H14" s="3" t="s">
        <v>1012</v>
      </c>
    </row>
    <row r="16" spans="1:8" ht="15" customHeight="1" x14ac:dyDescent="0.3">
      <c r="A16" s="11" t="s">
        <v>1013</v>
      </c>
      <c r="B16" s="14"/>
      <c r="C16" s="14"/>
      <c r="D16" s="14"/>
      <c r="E16" s="14"/>
      <c r="F16" s="14"/>
      <c r="G16" s="14"/>
      <c r="H16" s="12"/>
    </row>
    <row r="17" spans="1:8" ht="30" customHeight="1" x14ac:dyDescent="0.3">
      <c r="A17" s="1" t="s">
        <v>1014</v>
      </c>
      <c r="B17" s="1" t="s">
        <v>1015</v>
      </c>
      <c r="C17" s="1" t="s">
        <v>1016</v>
      </c>
      <c r="D17" s="1" t="s">
        <v>1017</v>
      </c>
      <c r="E17" s="1" t="s">
        <v>1018</v>
      </c>
      <c r="F17" s="1" t="s">
        <v>1019</v>
      </c>
      <c r="G17" s="1" t="s">
        <v>1020</v>
      </c>
      <c r="H17" s="1" t="s">
        <v>1021</v>
      </c>
    </row>
    <row r="18" spans="1:8" ht="15" customHeight="1" x14ac:dyDescent="0.3">
      <c r="A18" s="2" t="s">
        <v>1022</v>
      </c>
      <c r="B18" s="3" t="s">
        <v>1023</v>
      </c>
      <c r="C18" s="3" t="s">
        <v>1024</v>
      </c>
      <c r="D18" s="3" t="s">
        <v>1025</v>
      </c>
      <c r="E18" s="3" t="s">
        <v>1026</v>
      </c>
      <c r="F18" s="3" t="s">
        <v>1027</v>
      </c>
      <c r="G18" s="3" t="s">
        <v>1028</v>
      </c>
      <c r="H18" s="3" t="s">
        <v>1029</v>
      </c>
    </row>
    <row r="19" spans="1:8" ht="15" customHeight="1" x14ac:dyDescent="0.3">
      <c r="A19" s="2" t="s">
        <v>1030</v>
      </c>
      <c r="B19" s="3" t="s">
        <v>1023</v>
      </c>
      <c r="C19" s="3" t="s">
        <v>1031</v>
      </c>
      <c r="D19" s="3" t="s">
        <v>1032</v>
      </c>
      <c r="E19" s="3" t="s">
        <v>1033</v>
      </c>
      <c r="F19" s="3" t="s">
        <v>1034</v>
      </c>
      <c r="G19" s="3" t="s">
        <v>1028</v>
      </c>
      <c r="H19" s="3" t="s">
        <v>1035</v>
      </c>
    </row>
    <row r="20" spans="1:8" ht="15" customHeight="1" x14ac:dyDescent="0.3">
      <c r="A20" s="2" t="s">
        <v>1036</v>
      </c>
      <c r="B20" s="3" t="s">
        <v>1037</v>
      </c>
      <c r="C20" s="3" t="s">
        <v>1038</v>
      </c>
      <c r="D20" s="3" t="s">
        <v>1039</v>
      </c>
      <c r="E20" s="3" t="s">
        <v>1040</v>
      </c>
      <c r="F20" s="3" t="s">
        <v>1041</v>
      </c>
      <c r="G20" s="3" t="s">
        <v>1028</v>
      </c>
      <c r="H20" s="3" t="s">
        <v>1042</v>
      </c>
    </row>
    <row r="21" spans="1:8" ht="15" customHeight="1" x14ac:dyDescent="0.3">
      <c r="A21" s="2" t="s">
        <v>1043</v>
      </c>
      <c r="B21" s="3" t="s">
        <v>1044</v>
      </c>
      <c r="C21" s="3" t="s">
        <v>1045</v>
      </c>
      <c r="D21" s="3" t="s">
        <v>1046</v>
      </c>
      <c r="E21" s="3" t="s">
        <v>1032</v>
      </c>
      <c r="F21" s="3" t="s">
        <v>1047</v>
      </c>
      <c r="G21" s="3" t="s">
        <v>1028</v>
      </c>
      <c r="H21" s="3" t="s">
        <v>1048</v>
      </c>
    </row>
    <row r="23" spans="1:8" ht="15" customHeight="1" x14ac:dyDescent="0.3">
      <c r="A23" s="11" t="s">
        <v>1049</v>
      </c>
      <c r="B23" s="14"/>
      <c r="C23" s="14"/>
      <c r="D23" s="14"/>
      <c r="E23" s="14"/>
      <c r="F23" s="14"/>
      <c r="G23" s="14"/>
      <c r="H23" s="12"/>
    </row>
    <row r="24" spans="1:8" ht="30" customHeight="1" x14ac:dyDescent="0.3">
      <c r="A24" s="2" t="s">
        <v>1050</v>
      </c>
      <c r="B24" s="17" t="s">
        <v>1051</v>
      </c>
      <c r="C24" s="14"/>
      <c r="D24" s="14"/>
      <c r="E24" s="14"/>
      <c r="F24" s="14"/>
      <c r="G24" s="14"/>
      <c r="H24" s="12"/>
    </row>
    <row r="25" spans="1:8" ht="30" customHeight="1" x14ac:dyDescent="0.3">
      <c r="A25" s="2" t="s">
        <v>1052</v>
      </c>
      <c r="B25" s="17" t="s">
        <v>1053</v>
      </c>
      <c r="C25" s="14"/>
      <c r="D25" s="14"/>
      <c r="E25" s="14"/>
      <c r="F25" s="14"/>
      <c r="G25" s="14"/>
      <c r="H25" s="12"/>
    </row>
    <row r="26" spans="1:8" ht="30" customHeight="1" x14ac:dyDescent="0.3">
      <c r="A26" s="2" t="s">
        <v>1054</v>
      </c>
      <c r="B26" s="17" t="s">
        <v>1055</v>
      </c>
      <c r="C26" s="14"/>
      <c r="D26" s="14"/>
      <c r="E26" s="14"/>
      <c r="F26" s="14"/>
      <c r="G26" s="14"/>
      <c r="H26" s="12"/>
    </row>
    <row r="27" spans="1:8" ht="30" customHeight="1" x14ac:dyDescent="0.3">
      <c r="A27" s="2" t="s">
        <v>1056</v>
      </c>
      <c r="B27" s="17" t="s">
        <v>1057</v>
      </c>
      <c r="C27" s="14"/>
      <c r="D27" s="14"/>
      <c r="E27" s="14"/>
      <c r="F27" s="14"/>
      <c r="G27" s="14"/>
      <c r="H27" s="12"/>
    </row>
    <row r="28" spans="1:8" ht="30" customHeight="1" x14ac:dyDescent="0.3">
      <c r="A28" s="2" t="s">
        <v>1058</v>
      </c>
      <c r="B28" s="17" t="s">
        <v>1059</v>
      </c>
      <c r="C28" s="14"/>
      <c r="D28" s="14"/>
      <c r="E28" s="14"/>
      <c r="F28" s="14"/>
      <c r="G28" s="14"/>
      <c r="H28" s="12"/>
    </row>
    <row r="29" spans="1:8" ht="30" customHeight="1" x14ac:dyDescent="0.3">
      <c r="A29" s="2" t="s">
        <v>1060</v>
      </c>
      <c r="B29" s="17" t="s">
        <v>1061</v>
      </c>
      <c r="C29" s="14"/>
      <c r="D29" s="14"/>
      <c r="E29" s="14"/>
      <c r="F29" s="14"/>
      <c r="G29" s="14"/>
      <c r="H29" s="12"/>
    </row>
    <row r="30" spans="1:8" ht="30" customHeight="1" x14ac:dyDescent="0.3">
      <c r="A30" s="2" t="s">
        <v>1062</v>
      </c>
      <c r="B30" s="17" t="s">
        <v>1063</v>
      </c>
      <c r="C30" s="14"/>
      <c r="D30" s="14"/>
      <c r="E30" s="14"/>
      <c r="F30" s="14"/>
      <c r="G30" s="14"/>
      <c r="H30" s="12"/>
    </row>
    <row r="31" spans="1:8" ht="30" customHeight="1" x14ac:dyDescent="0.3">
      <c r="A31" s="2" t="s">
        <v>1064</v>
      </c>
      <c r="B31" s="17" t="s">
        <v>1065</v>
      </c>
      <c r="C31" s="14"/>
      <c r="D31" s="14"/>
      <c r="E31" s="14"/>
      <c r="F31" s="14"/>
      <c r="G31" s="14"/>
      <c r="H31" s="12"/>
    </row>
  </sheetData>
  <mergeCells count="13">
    <mergeCell ref="A1:H1"/>
    <mergeCell ref="A4:H4"/>
    <mergeCell ref="B28:H28"/>
    <mergeCell ref="B26:H26"/>
    <mergeCell ref="B27:H27"/>
    <mergeCell ref="A16:H16"/>
    <mergeCell ref="A2:H2"/>
    <mergeCell ref="B24:H24"/>
    <mergeCell ref="B30:H30"/>
    <mergeCell ref="B29:H29"/>
    <mergeCell ref="B25:H25"/>
    <mergeCell ref="A23:H23"/>
    <mergeCell ref="B31:H31"/>
  </mergeCells>
  <dataValidations count="1">
    <dataValidation type="list" allowBlank="1" sqref="B6:B14" xr:uid="{00000000-0002-0000-0500-000000000000}">
      <formula1>"Yes,Partial,No"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9"/>
  <sheetViews>
    <sheetView showGridLines="0" zoomScaleNormal="100" workbookViewId="0"/>
  </sheetViews>
  <sheetFormatPr defaultColWidth="8.6640625" defaultRowHeight="14.4" x14ac:dyDescent="0.3"/>
  <cols>
    <col min="1" max="1" width="52" customWidth="1"/>
    <col min="2" max="2" width="14" customWidth="1"/>
    <col min="3" max="3" width="16" customWidth="1"/>
    <col min="4" max="4" width="18" customWidth="1"/>
    <col min="5" max="5" width="40" customWidth="1"/>
    <col min="6" max="6" width="14" customWidth="1"/>
  </cols>
  <sheetData>
    <row r="1" spans="1:6" ht="24" customHeight="1" x14ac:dyDescent="0.3">
      <c r="A1" s="15" t="s">
        <v>1066</v>
      </c>
      <c r="B1" s="14"/>
      <c r="C1" s="14"/>
      <c r="D1" s="14"/>
      <c r="E1" s="14"/>
      <c r="F1" s="12"/>
    </row>
    <row r="2" spans="1:6" ht="31.5" customHeight="1" x14ac:dyDescent="0.3">
      <c r="A2" s="13" t="s">
        <v>1067</v>
      </c>
      <c r="B2" s="14"/>
      <c r="C2" s="14"/>
      <c r="D2" s="14"/>
      <c r="E2" s="14"/>
      <c r="F2" s="12"/>
    </row>
    <row r="4" spans="1:6" ht="15" customHeight="1" x14ac:dyDescent="0.3">
      <c r="A4" s="11" t="s">
        <v>1068</v>
      </c>
      <c r="B4" s="14"/>
      <c r="C4" s="14"/>
      <c r="D4" s="14"/>
      <c r="E4" s="14"/>
      <c r="F4" s="12"/>
    </row>
    <row r="5" spans="1:6" ht="30" customHeight="1" x14ac:dyDescent="0.3">
      <c r="A5" s="1" t="s">
        <v>1069</v>
      </c>
      <c r="B5" s="1" t="s">
        <v>1070</v>
      </c>
      <c r="C5" s="1" t="s">
        <v>1071</v>
      </c>
      <c r="D5" s="1" t="s">
        <v>1072</v>
      </c>
      <c r="E5" s="1" t="s">
        <v>983</v>
      </c>
      <c r="F5" s="1" t="s">
        <v>1073</v>
      </c>
    </row>
    <row r="6" spans="1:6" ht="15" customHeight="1" x14ac:dyDescent="0.3">
      <c r="A6" s="4" t="s">
        <v>1074</v>
      </c>
      <c r="B6" s="5" t="s">
        <v>1075</v>
      </c>
      <c r="C6" s="3">
        <v>100</v>
      </c>
      <c r="D6" s="9">
        <f>COUNTA('02_QUESTIONS'!B5:B304)</f>
        <v>100</v>
      </c>
      <c r="E6" s="3" t="s">
        <v>1076</v>
      </c>
      <c r="F6" s="6" t="str">
        <f>IF(C6="","",IF(C6&gt;=100,"MET","NOT MET"))</f>
        <v>MET</v>
      </c>
    </row>
    <row r="7" spans="1:6" ht="15" customHeight="1" x14ac:dyDescent="0.3">
      <c r="A7" s="4" t="s">
        <v>1077</v>
      </c>
      <c r="B7" s="5" t="s">
        <v>1078</v>
      </c>
      <c r="C7" s="3">
        <v>4</v>
      </c>
      <c r="D7" s="9" t="s">
        <v>1079</v>
      </c>
      <c r="E7" s="3" t="s">
        <v>1080</v>
      </c>
      <c r="F7" s="6" t="str">
        <f>IF(C7="","",IF(C7&gt;=4,"MET","NOT MET"))</f>
        <v>MET</v>
      </c>
    </row>
    <row r="8" spans="1:6" ht="15" customHeight="1" x14ac:dyDescent="0.3">
      <c r="A8" s="4" t="s">
        <v>1081</v>
      </c>
      <c r="B8" s="5" t="s">
        <v>1082</v>
      </c>
      <c r="C8" s="3">
        <v>2</v>
      </c>
      <c r="D8" s="9" t="s">
        <v>1079</v>
      </c>
      <c r="E8" s="3" t="s">
        <v>1083</v>
      </c>
      <c r="F8" s="6" t="str">
        <f>IF(C8="","",IF(C8&gt;=2,"MET","NOT MET"))</f>
        <v>MET</v>
      </c>
    </row>
    <row r="9" spans="1:6" ht="15" customHeight="1" x14ac:dyDescent="0.3">
      <c r="A9" s="4" t="s">
        <v>1084</v>
      </c>
      <c r="B9" s="5" t="s">
        <v>1085</v>
      </c>
      <c r="C9" s="3">
        <v>20</v>
      </c>
      <c r="D9" s="9">
        <f>COUNTIF('02b_FIXES'!H5:H54,"Yes")</f>
        <v>20</v>
      </c>
      <c r="E9" s="3" t="s">
        <v>1086</v>
      </c>
      <c r="F9" s="6" t="str">
        <f>IF(C9="","",IF(C9&gt;=20,"MET","NOT MET"))</f>
        <v>MET</v>
      </c>
    </row>
    <row r="10" spans="1:6" ht="15" customHeight="1" x14ac:dyDescent="0.3">
      <c r="A10" s="4" t="s">
        <v>1087</v>
      </c>
      <c r="B10" s="5" t="s">
        <v>1088</v>
      </c>
      <c r="C10" s="3">
        <v>10</v>
      </c>
      <c r="D10" s="9">
        <f>COUNTIFS('02c_PAGES_CITATIONS'!B5:B84,"Page",'02c_PAGES_CITATIONS'!I5:I84,"Ready")</f>
        <v>10</v>
      </c>
      <c r="E10" s="3" t="s">
        <v>1089</v>
      </c>
      <c r="F10" s="6" t="str">
        <f>IF(C10="","",IF(C10&gt;=10,"MET","NOT MET"))</f>
        <v>MET</v>
      </c>
    </row>
    <row r="11" spans="1:6" ht="15" customHeight="1" x14ac:dyDescent="0.3">
      <c r="A11" s="4" t="s">
        <v>1090</v>
      </c>
      <c r="B11" s="5" t="s">
        <v>1091</v>
      </c>
      <c r="C11" s="3">
        <v>30</v>
      </c>
      <c r="D11" s="9">
        <f>COUNTIF('02c_PAGES_CITATIONS'!B5:B84,"Citation target")</f>
        <v>30</v>
      </c>
      <c r="E11" s="3" t="s">
        <v>1092</v>
      </c>
      <c r="F11" s="6" t="str">
        <f>IF(C11="","",IF(C11&gt;=30,"MET","NOT MET"))</f>
        <v>MET</v>
      </c>
    </row>
    <row r="12" spans="1:6" ht="15" customHeight="1" x14ac:dyDescent="0.3">
      <c r="A12" s="4" t="s">
        <v>1093</v>
      </c>
      <c r="B12" s="5" t="s">
        <v>7</v>
      </c>
      <c r="C12" s="3" t="s">
        <v>7</v>
      </c>
      <c r="D12" s="9" t="s">
        <v>1079</v>
      </c>
      <c r="E12" s="3" t="s">
        <v>1094</v>
      </c>
      <c r="F12" s="6" t="str">
        <f>IF(C12="","",IF(C12="Yes","MET","NOT MET"))</f>
        <v>MET</v>
      </c>
    </row>
    <row r="13" spans="1:6" ht="27.75" customHeight="1" x14ac:dyDescent="0.3">
      <c r="A13" s="13" t="s">
        <v>1095</v>
      </c>
      <c r="B13" s="14"/>
      <c r="C13" s="14"/>
      <c r="D13" s="14"/>
      <c r="E13" s="14"/>
      <c r="F13" s="12"/>
    </row>
    <row r="15" spans="1:6" ht="15" customHeight="1" x14ac:dyDescent="0.3">
      <c r="A15" s="11" t="s">
        <v>1096</v>
      </c>
      <c r="B15" s="14"/>
      <c r="C15" s="14"/>
      <c r="D15" s="14"/>
      <c r="E15" s="14"/>
      <c r="F15" s="12"/>
    </row>
    <row r="16" spans="1:6" ht="30" customHeight="1" x14ac:dyDescent="0.3">
      <c r="A16" s="1" t="s">
        <v>981</v>
      </c>
      <c r="B16" s="1" t="s">
        <v>1097</v>
      </c>
      <c r="C16" s="1" t="s">
        <v>1071</v>
      </c>
      <c r="D16" s="1"/>
      <c r="E16" s="1" t="s">
        <v>983</v>
      </c>
      <c r="F16" s="1"/>
    </row>
    <row r="17" spans="1:6" ht="30" customHeight="1" x14ac:dyDescent="0.3">
      <c r="A17" s="4" t="s">
        <v>1098</v>
      </c>
      <c r="B17" s="3" t="s">
        <v>986</v>
      </c>
      <c r="C17" s="3">
        <v>300</v>
      </c>
      <c r="E17" s="3" t="s">
        <v>1099</v>
      </c>
    </row>
    <row r="18" spans="1:6" ht="30" customHeight="1" x14ac:dyDescent="0.3">
      <c r="A18" s="4" t="s">
        <v>1100</v>
      </c>
      <c r="B18" s="3" t="s">
        <v>986</v>
      </c>
      <c r="C18" s="3" t="s">
        <v>1101</v>
      </c>
      <c r="E18" s="3" t="s">
        <v>1102</v>
      </c>
    </row>
    <row r="19" spans="1:6" ht="30" customHeight="1" x14ac:dyDescent="0.3">
      <c r="A19" s="4" t="s">
        <v>1103</v>
      </c>
      <c r="B19" s="3" t="s">
        <v>986</v>
      </c>
      <c r="C19" s="3" t="s">
        <v>1104</v>
      </c>
      <c r="E19" s="3" t="s">
        <v>1105</v>
      </c>
    </row>
    <row r="20" spans="1:6" ht="30" customHeight="1" x14ac:dyDescent="0.3">
      <c r="A20" s="4" t="s">
        <v>1106</v>
      </c>
      <c r="B20" s="3" t="s">
        <v>986</v>
      </c>
      <c r="C20" s="3" t="s">
        <v>1107</v>
      </c>
      <c r="E20" s="3" t="s">
        <v>1108</v>
      </c>
    </row>
    <row r="22" spans="1:6" ht="15" customHeight="1" x14ac:dyDescent="0.3">
      <c r="A22" s="11" t="s">
        <v>1109</v>
      </c>
      <c r="B22" s="14"/>
      <c r="C22" s="14"/>
      <c r="D22" s="14"/>
      <c r="E22" s="14"/>
      <c r="F22" s="12"/>
    </row>
    <row r="23" spans="1:6" ht="30" customHeight="1" x14ac:dyDescent="0.3">
      <c r="A23" s="1" t="s">
        <v>1110</v>
      </c>
      <c r="B23" s="1" t="s">
        <v>1111</v>
      </c>
      <c r="C23" s="1" t="s">
        <v>1112</v>
      </c>
      <c r="D23" s="1"/>
      <c r="E23" s="1" t="s">
        <v>1113</v>
      </c>
      <c r="F23" s="1"/>
    </row>
    <row r="24" spans="1:6" ht="30" customHeight="1" x14ac:dyDescent="0.3">
      <c r="A24" s="2" t="s">
        <v>1114</v>
      </c>
      <c r="B24" s="5">
        <v>10</v>
      </c>
      <c r="C24" s="3">
        <v>10</v>
      </c>
      <c r="E24" s="17" t="s">
        <v>1115</v>
      </c>
      <c r="F24" s="12"/>
    </row>
    <row r="25" spans="1:6" ht="30" customHeight="1" x14ac:dyDescent="0.3">
      <c r="A25" s="2" t="s">
        <v>1116</v>
      </c>
      <c r="B25" s="5">
        <v>35</v>
      </c>
      <c r="C25" s="3">
        <v>35</v>
      </c>
      <c r="E25" s="17" t="s">
        <v>1117</v>
      </c>
      <c r="F25" s="12"/>
    </row>
    <row r="26" spans="1:6" ht="30" customHeight="1" x14ac:dyDescent="0.3">
      <c r="A26" s="2" t="s">
        <v>1118</v>
      </c>
      <c r="B26" s="5">
        <v>20</v>
      </c>
      <c r="C26" s="3">
        <v>20</v>
      </c>
      <c r="E26" s="17" t="s">
        <v>1119</v>
      </c>
      <c r="F26" s="12"/>
    </row>
    <row r="27" spans="1:6" ht="30" customHeight="1" x14ac:dyDescent="0.3">
      <c r="A27" s="2" t="s">
        <v>1120</v>
      </c>
      <c r="B27" s="5">
        <v>10</v>
      </c>
      <c r="C27" s="3">
        <v>10</v>
      </c>
      <c r="E27" s="17" t="s">
        <v>1121</v>
      </c>
      <c r="F27" s="12"/>
    </row>
    <row r="28" spans="1:6" ht="30" customHeight="1" x14ac:dyDescent="0.3">
      <c r="A28" s="2" t="s">
        <v>1122</v>
      </c>
      <c r="B28" s="5">
        <v>25</v>
      </c>
      <c r="C28" s="3">
        <v>25</v>
      </c>
      <c r="E28" s="17" t="s">
        <v>1123</v>
      </c>
      <c r="F28" s="12"/>
    </row>
    <row r="29" spans="1:6" ht="15" customHeight="1" x14ac:dyDescent="0.3">
      <c r="A29" s="1" t="s">
        <v>1124</v>
      </c>
      <c r="B29" s="10">
        <v>100</v>
      </c>
      <c r="C29" s="6">
        <f>SUM(C24:C28)</f>
        <v>100</v>
      </c>
    </row>
  </sheetData>
  <mergeCells count="11">
    <mergeCell ref="A2:F2"/>
    <mergeCell ref="A13:F13"/>
    <mergeCell ref="E24:F24"/>
    <mergeCell ref="E25:F25"/>
    <mergeCell ref="A1:F1"/>
    <mergeCell ref="E27:F27"/>
    <mergeCell ref="E28:F28"/>
    <mergeCell ref="A22:F22"/>
    <mergeCell ref="A4:F4"/>
    <mergeCell ref="E26:F26"/>
    <mergeCell ref="A15:F15"/>
  </mergeCells>
  <conditionalFormatting sqref="F6:F12">
    <cfRule type="expression" dxfId="1" priority="2">
      <formula>F6="NOT MET"</formula>
    </cfRule>
    <cfRule type="expression" dxfId="0" priority="3">
      <formula>F6="MET"</formula>
    </cfRule>
  </conditionalFormatting>
  <dataValidations count="5">
    <dataValidation type="list" allowBlank="1" sqref="B17:B20 C12" xr:uid="{00000000-0002-0000-0600-000000000000}">
      <formula1>"Yes,No"</formula1>
      <formula2>0</formula2>
    </dataValidation>
    <dataValidation type="whole" allowBlank="1" sqref="C24 C27" xr:uid="{00000000-0002-0000-0600-000001000000}">
      <formula1>0</formula1>
      <formula2>10</formula2>
    </dataValidation>
    <dataValidation type="whole" allowBlank="1" sqref="C25" xr:uid="{00000000-0002-0000-0600-000002000000}">
      <formula1>0</formula1>
      <formula2>35</formula2>
    </dataValidation>
    <dataValidation type="whole" allowBlank="1" sqref="C26" xr:uid="{00000000-0002-0000-0600-000003000000}">
      <formula1>0</formula1>
      <formula2>20</formula2>
    </dataValidation>
    <dataValidation type="whole" allowBlank="1" sqref="C28" xr:uid="{00000000-0002-0000-0600-000004000000}">
      <formula1>0</formula1>
      <formula2>25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00_START</vt:lpstr>
      <vt:lpstr>01_INSIGHT</vt:lpstr>
      <vt:lpstr>02_QUESTIONS</vt:lpstr>
      <vt:lpstr>02b_FIXES</vt:lpstr>
      <vt:lpstr>02c_PAGES_CITATIONS</vt:lpstr>
      <vt:lpstr>03_ENGINE_LAUNCH</vt:lpstr>
      <vt:lpstr>04_SELF_CHECK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VK LAKSHMANDEV</cp:lastModifiedBy>
  <cp:revision>0</cp:revision>
  <dcterms:created xsi:type="dcterms:W3CDTF">2026-10-13T09:38:48Z</dcterms:created>
  <dcterms:modified xsi:type="dcterms:W3CDTF">2026-10-25T17:21:22Z</dcterms:modified>
  <dc:language>en-US</dc:language>
</cp:coreProperties>
</file>