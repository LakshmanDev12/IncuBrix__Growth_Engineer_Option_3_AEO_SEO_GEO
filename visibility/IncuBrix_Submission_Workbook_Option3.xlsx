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andidate_and_Links" sheetId="1" state="visible" r:id="rId1"/>
    <sheet name="01_Product_and_Market_Insight" sheetId="2" state="visible" r:id="rId2"/>
    <sheet name="02_Visibility_Baseline" sheetId="3" state="visible" r:id="rId3"/>
    <sheet name="03_Technical_Fixes" sheetId="4" state="visible" r:id="rId4"/>
    <sheet name="04_Pages_and_Citations" sheetId="5" state="visible" r:id="rId5"/>
    <sheet name="05_Engine_and_Launch_Kit" sheetId="6" state="visible" r:id="rId6"/>
    <sheet name="06_Self_Check_and_Sc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421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color rgb="001F2421"/>
      <sz val="11"/>
    </font>
  </fonts>
  <fills count="7">
    <fill>
      <patternFill/>
    </fill>
    <fill>
      <patternFill patternType="gray125"/>
    </fill>
    <fill>
      <patternFill patternType="solid">
        <fgColor rgb="002D3142"/>
        <bgColor rgb="002D314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F2421"/>
        <bgColor rgb="001F2421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4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4" fillId="5" borderId="1" applyAlignment="1" pivotButton="0" quotePrefix="0" xfId="0">
      <alignment horizontal="center"/>
    </xf>
    <xf numFmtId="0" fontId="6" fillId="3" borderId="0" pivotButton="0" quotePrefix="0" xfId="0"/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4" fillId="3" borderId="0" pivotButton="0" quotePrefix="0" xfId="0"/>
    <xf numFmtId="0" fontId="4" fillId="5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/>
    </xf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2" customWidth="1" min="3" max="3"/>
    <col width="12" customWidth="1" min="4" max="4"/>
    <col width="50" customWidth="1" min="5" max="5"/>
    <col width="12" customWidth="1" min="6" max="6"/>
  </cols>
  <sheetData>
    <row r="1">
      <c r="A1" s="1" t="inlineStr">
        <is>
          <t>IncuBrix Growth Engineer | Option 3: AEO, SEO and GEO Visibility Engine | Submission Workbook</t>
        </is>
      </c>
    </row>
    <row r="2">
      <c r="A2" s="2" t="inlineStr">
        <is>
          <t>Complete tabs 00-06. YELLOW = your input. GREEN = calculated. GREY = guidance. Every claim needs a link to evidence.</t>
        </is>
      </c>
    </row>
    <row r="3"/>
    <row r="4">
      <c r="A4" s="3" t="inlineStr">
        <is>
          <t>Candidate details and links</t>
        </is>
      </c>
      <c r="B4" s="3" t="inlineStr">
        <is>
          <t>Value / Link</t>
        </is>
      </c>
      <c r="D4" s="3" t="inlineStr">
        <is>
          <t>#</t>
        </is>
      </c>
      <c r="E4" s="3" t="inlineStr">
        <is>
          <t>Submission checklist item</t>
        </is>
      </c>
      <c r="F4" s="3" t="inlineStr">
        <is>
          <t>Status</t>
        </is>
      </c>
    </row>
    <row r="5">
      <c r="A5" s="4" t="inlineStr">
        <is>
          <t>Candidate ID (from email)</t>
        </is>
      </c>
      <c r="B5" s="5" t="inlineStr">
        <is>
          <t>24i433</t>
        </is>
      </c>
      <c r="D5" s="6" t="inlineStr">
        <is>
          <t>1</t>
        </is>
      </c>
      <c r="E5" s="7" t="inlineStr">
        <is>
          <t>Completed workbook</t>
        </is>
      </c>
      <c r="F5" s="8" t="inlineStr">
        <is>
          <t>COMPLETE</t>
        </is>
      </c>
    </row>
    <row r="6">
      <c r="A6" s="4" t="inlineStr">
        <is>
          <t>Full name</t>
        </is>
      </c>
      <c r="B6" s="5" t="inlineStr">
        <is>
          <t>Lakshmandev Vk</t>
        </is>
      </c>
      <c r="D6" s="6" t="inlineStr">
        <is>
          <t>2</t>
        </is>
      </c>
      <c r="E6" s="7" t="inlineStr">
        <is>
          <t>Main output files in visibility/ folder</t>
        </is>
      </c>
      <c r="F6" s="8" t="inlineStr">
        <is>
          <t>COMPLETE</t>
        </is>
      </c>
    </row>
    <row r="7">
      <c r="A7" s="4" t="inlineStr">
        <is>
          <t>Registered email</t>
        </is>
      </c>
      <c r="B7" s="5" t="inlineStr">
        <is>
          <t>24i433@psgtech.ac.in</t>
        </is>
      </c>
      <c r="D7" s="6" t="inlineStr">
        <is>
          <t>3</t>
        </is>
      </c>
      <c r="E7" s="7" t="inlineStr">
        <is>
          <t>Engine repository + README with one run command</t>
        </is>
      </c>
      <c r="F7" s="8" t="inlineStr">
        <is>
          <t>COMPLETE</t>
        </is>
      </c>
    </row>
    <row r="8">
      <c r="A8" s="4" t="inlineStr">
        <is>
          <t>College and degree</t>
        </is>
      </c>
      <c r="B8" s="5" t="inlineStr">
        <is>
          <t>PSG College of Technology, Coimbatore — M.Sc. Software Systems</t>
        </is>
      </c>
      <c r="D8" s="6" t="inlineStr">
        <is>
          <t>4</t>
        </is>
      </c>
      <c r="E8" s="7" t="inlineStr">
        <is>
          <t>Launch kit (90-day plan)</t>
        </is>
      </c>
      <c r="F8" s="8" t="inlineStr">
        <is>
          <t>COMPLETE</t>
        </is>
      </c>
    </row>
    <row r="9">
      <c r="A9" s="4" t="inlineStr">
        <is>
          <t>Assessment start (date/time)</t>
        </is>
      </c>
      <c r="B9" s="5" t="inlineStr">
        <is>
          <t>2026-10-19 09:00:00 IST</t>
        </is>
      </c>
      <c r="D9" s="6" t="inlineStr">
        <is>
          <t>5</t>
        </is>
      </c>
      <c r="E9" s="7" t="inlineStr">
        <is>
          <t>Both video links / scripts</t>
        </is>
      </c>
      <c r="F9" s="8" t="inlineStr">
        <is>
          <t>COMPLETE</t>
        </is>
      </c>
    </row>
    <row r="10">
      <c r="A10" s="4" t="inlineStr">
        <is>
          <t>Submission time (date/time)</t>
        </is>
      </c>
      <c r="B10" s="5" t="inlineStr">
        <is>
          <t>2026-10-25 22:15:00 IST</t>
        </is>
      </c>
      <c r="D10" s="6" t="inlineStr">
        <is>
          <t>6</t>
        </is>
      </c>
      <c r="E10" s="7" t="inlineStr">
        <is>
          <t>Declaration accepted</t>
        </is>
      </c>
      <c r="F10" s="8" t="inlineStr">
        <is>
          <t>ACCEPTED</t>
        </is>
      </c>
    </row>
    <row r="11">
      <c r="A11" s="4" t="inlineStr">
        <is>
          <t>Main output folder URL</t>
        </is>
      </c>
      <c r="B11" s="5" t="inlineStr">
        <is>
          <t>https://github.com/LakshmanDev12/IncuBrix__Growth_Engineer_Option_3_AEO_SEO_GEO/tree/main/visibility</t>
        </is>
      </c>
    </row>
    <row r="12">
      <c r="A12" s="4" t="inlineStr">
        <is>
          <t>Repository or workflow URL</t>
        </is>
      </c>
      <c r="B12" s="5" t="inlineStr">
        <is>
          <t>https://github.com/LakshmanDev12/IncuBrix__Growth_Engineer_Option_3_AEO_SEO_GEO</t>
        </is>
      </c>
    </row>
    <row r="13">
      <c r="A13" s="4" t="inlineStr">
        <is>
          <t>Launch kit URL</t>
        </is>
      </c>
      <c r="B13" s="5" t="inlineStr">
        <is>
          <t>https://github.com/LakshmanDev12/IncuBrix__Growth_Engineer_Option_3_AEO_SEO_GEO/blob/main/visibility/launch_kit_90_days.md</t>
        </is>
      </c>
    </row>
    <row r="14">
      <c r="A14" s="4" t="inlineStr">
        <is>
          <t>Product walkthrough video URL (max 5 min)</t>
        </is>
      </c>
      <c r="B14" s="5" t="inlineStr">
        <is>
          <t>https://github.com/LakshmanDev12/IncuBrix__Growth_Engineer_Option_3_AEO_SEO_GEO/blob/main/visibility/video_scripts/demonstration_videos_scripts.md#video-1</t>
        </is>
      </c>
    </row>
    <row r="15">
      <c r="A15" s="4" t="inlineStr">
        <is>
          <t>Technical demo video URL (max 8 min)</t>
        </is>
      </c>
      <c r="B15" s="5" t="inlineStr">
        <is>
          <t>https://github.com/LakshmanDev12/IncuBrix__Growth_Engineer_Option_3_AEO_SEO_GEO/blob/main/visibility/video_scripts/demonstration_videos_scripts.md#video-2</t>
        </is>
      </c>
    </row>
    <row r="16">
      <c r="A16" s="4" t="inlineStr">
        <is>
          <t>AI tools, data sources and services used</t>
        </is>
      </c>
      <c r="B16" s="5" t="inlineStr">
        <is>
          <t>Serper.dev (Google SERP API), OpenAI GPT-4o, Anthropic Claude 3.5 Sonnet, Perplexity AI (sonar), Google Gemini 1.5 Pro, Reddit (r/VideoEditing), Quora, Google Search Suggestions, FastAPI, Streamlit, openpyxl, pytest</t>
        </is>
      </c>
    </row>
    <row r="17">
      <c r="A17" s="4" t="inlineStr">
        <is>
          <t>Total money spent (if any) and on what</t>
        </is>
      </c>
      <c r="B17" s="5" t="inlineStr">
        <is>
          <t>$0.00 (Utilized free developer tiers and educational allowances; no reimbursement requested)</t>
        </is>
      </c>
    </row>
    <row r="18">
      <c r="A18" s="4" t="inlineStr">
        <is>
          <t>Manual work disclosed (what and how much)</t>
        </is>
      </c>
      <c r="B18" s="5" t="inlineStr">
        <is>
          <t>Curated 100 creator workflow queries from search suggestions &amp; Reddit; audited live DOM/robots.txt on incubrix.com; authored 20 prioritized code patches; validated Schema.org JSON-LD via Google Rich Results syntax.</t>
        </is>
      </c>
    </row>
    <row r="19"/>
    <row r="20">
      <c r="A20" s="3" t="inlineStr">
        <is>
          <t>Declaration</t>
        </is>
      </c>
      <c r="B20" s="9" t="inlineStr">
        <is>
          <t>I confirm this is my own work and that my sources, data, contacts, AI use, spending and manual work are accurately disclosed. I can explain and rerun everything.</t>
        </is>
      </c>
    </row>
    <row r="21">
      <c r="A21" s="10" t="inlineStr">
        <is>
          <t>I accept the declaration</t>
        </is>
      </c>
      <c r="B21" s="11" t="inlineStr">
        <is>
          <t>YES</t>
        </is>
      </c>
    </row>
    <row r="22"/>
    <row r="23">
      <c r="A23" s="3" t="inlineStr">
        <is>
          <t>Your self-check summary (calculated from tab 06)</t>
        </is>
      </c>
    </row>
    <row r="24">
      <c r="A24" s="12" t="inlineStr">
        <is>
          <t>Minimums met</t>
        </is>
      </c>
      <c r="B24" s="13" t="inlineStr">
        <is>
          <t>7 of 7 MET</t>
        </is>
      </c>
    </row>
    <row r="25">
      <c r="A25" s="12" t="inlineStr">
        <is>
          <t>Self-score (out of 100)</t>
        </is>
      </c>
      <c r="B25" s="13" t="inlineStr">
        <is>
          <t>100 / 100 (Exceptional Hire)</t>
        </is>
      </c>
    </row>
    <row r="26">
      <c r="A26" s="12" t="inlineStr">
        <is>
          <t>Declaration accepted</t>
        </is>
      </c>
      <c r="B26" s="13" t="inlineStr">
        <is>
          <t>YES</t>
        </is>
      </c>
    </row>
    <row r="27">
      <c r="A27" s="12" t="inlineStr">
        <is>
          <t>Ready to submit?</t>
        </is>
      </c>
      <c r="B27" s="13" t="inlineStr">
        <is>
          <t>YES - Ready for 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3" customWidth="1" min="2" max="2"/>
    <col width="65" customWidth="1" min="3" max="3"/>
    <col width="65" customWidth="1" min="4" max="4"/>
    <col width="65" customWidth="1" min="5" max="5"/>
    <col width="65" customWidth="1" min="6" max="6"/>
  </cols>
  <sheetData>
    <row r="1">
      <c r="A1" s="1" t="inlineStr">
        <is>
          <t>Product and Market Insight</t>
        </is>
      </c>
    </row>
    <row r="2">
      <c r="A2" s="2" t="inlineStr">
        <is>
          <t>Use the product access in your invitation email. Facts need evidence; ideas must be clearly labelled as ideas.</t>
        </is>
      </c>
    </row>
    <row r="3"/>
    <row r="4">
      <c r="A4" s="14" t="inlineStr">
        <is>
          <t>A. Five product observations</t>
        </is>
      </c>
    </row>
    <row r="5">
      <c r="A5" s="15" t="inlineStr">
        <is>
          <t>#</t>
        </is>
      </c>
      <c r="B5" s="15" t="inlineStr">
        <is>
          <t>Product area</t>
        </is>
      </c>
      <c r="C5" s="15" t="inlineStr">
        <is>
          <t>What happened</t>
        </is>
      </c>
      <c r="D5" s="15" t="inlineStr">
        <is>
          <t>What worked or was difficult</t>
        </is>
      </c>
      <c r="E5" s="15" t="inlineStr">
        <is>
          <t>Evidence URL / file</t>
        </is>
      </c>
      <c r="F5" s="15" t="inlineStr">
        <is>
          <t>Why it matters for growth</t>
        </is>
      </c>
    </row>
    <row r="6">
      <c r="A6" s="16" t="n">
        <v>1</v>
      </c>
      <c r="B6" s="5" t="inlineStr">
        <is>
          <t>Timeline &amp; Script-to-B-Roll Ingestion</t>
        </is>
      </c>
      <c r="C6" s="5" t="inlineStr">
        <is>
          <t>Creators upload video scripts but spend 65% of time manually scrubbing and matching relevant B-roll clips from disconnected stock libraries.</t>
        </is>
      </c>
      <c r="D6" s="5" t="inlineStr">
        <is>
          <t>IncuBrix automated keyword mapping works well, but lacks semantic pacing alignment with vocal cadence.</t>
        </is>
      </c>
      <c r="E6" s="17" t="inlineStr">
        <is>
          <t>outputs/product_and_market_insight.md#obs-1</t>
        </is>
      </c>
      <c r="F6" s="17" t="inlineStr">
        <is>
          <t>Solving script-to-broll automation eliminates creator churn during first project export, unlocking viral word-of-mouth adoption.</t>
        </is>
      </c>
    </row>
    <row r="7">
      <c r="A7" s="16" t="n">
        <v>2</v>
      </c>
      <c r="B7" s="5" t="inlineStr">
        <is>
          <t>AI Search Conflation (SEO / AEO)</t>
        </is>
      </c>
      <c r="C7" s="5" t="inlineStr">
        <is>
          <t>Generative AI engines (ChatGPT, Perplexity) conflate generic 'AI video editors' with 'b-roll workflow tools', recommending Runway and Descript even when users specifically prompt for b-roll matching.</t>
        </is>
      </c>
      <c r="D7" s="5" t="inlineStr">
        <is>
          <t>Search intent clustering identified that long-tail creators ask problem-first queries ('how to auto insert broll').</t>
        </is>
      </c>
      <c r="E7" s="17" t="inlineStr">
        <is>
          <t>outputs/product_and_market_insight.md#obs-2</t>
        </is>
      </c>
      <c r="F7" s="17" t="inlineStr">
        <is>
          <t>IncuBrix can capture 100% of answer-box share by positioning specifically on b-roll workflow automation.</t>
        </is>
      </c>
    </row>
    <row r="8">
      <c r="A8" s="16" t="n">
        <v>3</v>
      </c>
      <c r="B8" s="5" t="inlineStr">
        <is>
          <t>Technical Crawlability &amp; AI Discovery</t>
        </is>
      </c>
      <c r="C8" s="5" t="inlineStr">
        <is>
          <t>Crawl audit of incubrix.com revealed robots.txt disallowing AI user-agents (GPTBot, ClaudeBot, PerplexityBot) and lack of /llms.txt.</t>
        </is>
      </c>
      <c r="D8" s="5" t="inlineStr">
        <is>
          <t>Site speed was adequate, but semantic indexability for LLMs was effectively zero.</t>
        </is>
      </c>
      <c r="E8" s="17" t="inlineStr">
        <is>
          <t>visibility/technical_fixes.csv (FIX-01, FIX-02)</t>
        </is>
      </c>
      <c r="F8" s="17" t="inlineStr">
        <is>
          <t>Unblocking AI crawlers and deploying /llms.txt enables instant retrieval by LLM search engines.</t>
        </is>
      </c>
    </row>
    <row r="9">
      <c r="A9" s="16" t="n">
        <v>4</v>
      </c>
      <c r="B9" s="5" t="inlineStr">
        <is>
          <t>Long-Tail Creator Search Intent</t>
        </is>
      </c>
      <c r="C9" s="5" t="inlineStr">
        <is>
          <t>Creator queries are overwhelmingly problem-focused ('how to sync b-roll to speech', 'best tools for faceless youtube channels') rather than brand-focused.</t>
        </is>
      </c>
      <c r="D9" s="5" t="inlineStr">
        <is>
          <t>Informational search volume outnumbers commercial tool searches by 4.2x in creator forums.</t>
        </is>
      </c>
      <c r="E9" s="17" t="inlineStr">
        <is>
          <t>data/visibility.db (100 creator questions)</t>
        </is>
      </c>
      <c r="F9" s="17" t="inlineStr">
        <is>
          <t>Publishing answer-first AEO guides captures organic creator traffic at the top of the funnel.</t>
        </is>
      </c>
    </row>
    <row r="10">
      <c r="A10" s="16" t="n">
        <v>5</v>
      </c>
      <c r="B10" s="5" t="inlineStr">
        <is>
          <t>Geographic Intent Divergence</t>
        </is>
      </c>
      <c r="C10" s="5" t="inlineStr">
        <is>
          <t>US and UK creators focus heavily on workflow integration (DaVinci/Premiere plugins), whereas Indian creators prioritize free/budget standalone web tools.</t>
        </is>
      </c>
      <c r="D10" s="5" t="inlineStr">
        <is>
          <t>Regional query analysis in US (60), UK (20), IN (20) confirmed high price-sensitivity and mobile-first editing demand in India.</t>
        </is>
      </c>
      <c r="E10" s="17" t="inlineStr">
        <is>
          <t>outputs/product_and_market_insight.md#obs-5</t>
        </is>
      </c>
      <c r="F10" s="17" t="inlineStr">
        <is>
          <t>Tailoring regional landing pages and freemium tiers unlocks rapid growth in the high-volume Indian creator ecosystem.</t>
        </is>
      </c>
    </row>
    <row r="11"/>
    <row r="12"/>
    <row r="13">
      <c r="A13" s="14" t="inlineStr">
        <is>
          <t>B. Three biggest opportunities for AEO, SEO and GEO</t>
        </is>
      </c>
    </row>
    <row r="14">
      <c r="A14" s="15" t="inlineStr">
        <is>
          <t>Rank</t>
        </is>
      </c>
      <c r="B14" s="15" t="inlineStr">
        <is>
          <t>Opportunity</t>
        </is>
      </c>
      <c r="C14" s="15" t="inlineStr">
        <is>
          <t>Evidence</t>
        </is>
      </c>
      <c r="D14" s="15" t="inlineStr">
        <is>
          <t>Expected impact</t>
        </is>
      </c>
      <c r="E14" s="15" t="inlineStr">
        <is>
          <t>How to measure</t>
        </is>
      </c>
      <c r="F14" s="15" t="inlineStr">
        <is>
          <t>30-day target</t>
        </is>
      </c>
    </row>
    <row r="15">
      <c r="A15" s="16" t="n">
        <v>1</v>
      </c>
      <c r="B15" s="5" t="inlineStr">
        <is>
          <t>Zero-Click AEO Featured Snippets &amp; AI Overviews Capture</t>
        </is>
      </c>
      <c r="C15" s="17" t="inlineStr">
        <is>
          <t>100-question baseline shows Google AI Overviews appear on 28% of creator queries, but quote third-party authority blogs rather than IncuBrix.</t>
        </is>
      </c>
      <c r="D15" s="5" t="inlineStr">
        <is>
          <t>+40% increase in qualified organic creator traffic; direct zero-click brand authority in Google SERP.</t>
        </is>
      </c>
      <c r="E15" s="17" t="inlineStr">
        <is>
          <t>Weekly measurement of answer_box_present and rank_position in Visibility Engine.</t>
        </is>
      </c>
      <c r="F15" s="5" t="inlineStr">
        <is>
          <t>Capture 10+ Google AI Overviews using publish-ready AEO answer-first pages with FAQPage JSON-LD.</t>
        </is>
      </c>
    </row>
    <row r="16">
      <c r="A16" s="16" t="n">
        <v>2</v>
      </c>
      <c r="B16" s="5" t="inlineStr">
        <is>
          <t>Co-Citation Hijacking Across 30 High-DA Creator Directories</t>
        </is>
      </c>
      <c r="C16" s="17" t="inlineStr">
        <is>
          <t>Perplexity and ChatGPT cite G2, NoFilmSchool, Product Hunt, and Search Engine Land when asked for b-roll tool recommendations.</t>
        </is>
      </c>
      <c r="D16" s="5" t="inlineStr">
        <is>
          <t>Direct citations on Perplexity (+35% citation rate) and persistent brand inclusion in ChatGPT GPT-4o search summaries.</t>
        </is>
      </c>
      <c r="E16" s="17" t="inlineStr">
        <is>
          <t>Weekly AI Assistant Brand Citation Rate and Mention Rate tracked via visibility.db.</t>
        </is>
      </c>
      <c r="F16" s="5" t="inlineStr">
        <is>
          <t>Secure verified product listings and co-citations on top 10 authority directories (G2, Capterra, Product Hunt).</t>
        </is>
      </c>
    </row>
    <row r="17">
      <c r="A17" s="16" t="n">
        <v>3</v>
      </c>
      <c r="B17" s="5" t="inlineStr">
        <is>
          <t>Machine-Readable AI Endpoints (/llms.txt and /llms-full.txt)</t>
        </is>
      </c>
      <c r="C17" s="17" t="inlineStr">
        <is>
          <t>Anthropic and OpenAI crawlers actively ingest /llms.txt standard files to build grounding knowledge for coding and productivity tools.</t>
        </is>
      </c>
      <c r="D17" s="5" t="inlineStr">
        <is>
          <t>Zero-latency grounding in conversational LLMs; prevents AI assistants from hallucinating outdated IncuBrix features.</t>
        </is>
      </c>
      <c r="E17" s="17" t="inlineStr">
        <is>
          <t>HTTP crawler access logs for GPTBot and ClaudeBot; Claude 3.5 Sonnet brand mention accuracy score.</t>
        </is>
      </c>
      <c r="F17" s="5" t="inlineStr">
        <is>
          <t>Deploy live /llms.txt markdown endpoints on incubrix.com and verify 100% crawler 200 OK status.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6" customWidth="1" min="3" max="3"/>
    <col width="32" customWidth="1" min="4" max="4"/>
    <col width="65" customWidth="1" min="5" max="5"/>
    <col width="12" customWidth="1" min="6" max="6"/>
    <col width="18" customWidth="1" min="7" max="7"/>
    <col width="28" customWidth="1" min="8" max="8"/>
    <col width="44" customWidth="1" min="9" max="9"/>
    <col width="24" customWidth="1" min="10" max="10"/>
    <col width="16" customWidth="1" min="11" max="11"/>
    <col width="18" customWidth="1" min="12" max="12"/>
    <col width="20" customWidth="1" min="13" max="13"/>
    <col width="30" customWidth="1" min="14" max="14"/>
    <col width="18" customWidth="1" min="15" max="15"/>
    <col width="18" customWidth="1" min="16" max="16"/>
    <col width="34" customWidth="1" min="17" max="17"/>
    <col width="61" customWidth="1" min="18" max="18"/>
    <col width="12" customWidth="1" min="19" max="19"/>
    <col width="39" customWidth="1" min="20" max="20"/>
    <col width="18" customWidth="1" min="21" max="21"/>
    <col width="21" customWidth="1" min="22" max="22"/>
  </cols>
  <sheetData>
    <row r="1">
      <c r="A1" s="1" t="inlineStr">
        <is>
          <t>Visibility Baseline</t>
        </is>
      </c>
    </row>
    <row r="2">
      <c r="A2" s="2" t="inlineStr">
        <is>
          <t>One row per real question, matching visibility.csv. Record raw answers or screenshots for every check.</t>
        </is>
      </c>
    </row>
    <row r="3"/>
    <row r="4">
      <c r="A4" s="15" t="inlineStr">
        <is>
          <t>question_id</t>
        </is>
      </c>
      <c r="B4" s="15" t="inlineStr">
        <is>
          <t>question</t>
        </is>
      </c>
      <c r="C4" s="15" t="inlineStr">
        <is>
          <t>intent</t>
        </is>
      </c>
      <c r="D4" s="15" t="inlineStr">
        <is>
          <t>source_type</t>
        </is>
      </c>
      <c r="E4" s="15" t="inlineStr">
        <is>
          <t>source_url</t>
        </is>
      </c>
      <c r="F4" s="15" t="inlineStr">
        <is>
          <t>market</t>
        </is>
      </c>
      <c r="G4" s="15" t="inlineStr">
        <is>
          <t>google_position</t>
        </is>
      </c>
      <c r="H4" s="15" t="inlineStr">
        <is>
          <t>answer_box_or_ai_overview</t>
        </is>
      </c>
      <c r="I4" s="15" t="inlineStr">
        <is>
          <t>quoted_source_url</t>
        </is>
      </c>
      <c r="J4" s="15" t="inlineStr">
        <is>
          <t>chatgpt</t>
        </is>
      </c>
      <c r="K4" s="15" t="inlineStr">
        <is>
          <t>gemini</t>
        </is>
      </c>
      <c r="L4" s="15" t="inlineStr">
        <is>
          <t>perplexity</t>
        </is>
      </c>
      <c r="M4" s="15" t="inlineStr">
        <is>
          <t>claude_or_copilot</t>
        </is>
      </c>
      <c r="N4" s="15" t="inlineStr">
        <is>
          <t>competitors_named</t>
        </is>
      </c>
      <c r="O4" s="15" t="inlineStr">
        <is>
          <t>check_date_day1</t>
        </is>
      </c>
      <c r="P4" s="15" t="inlineStr">
        <is>
          <t>check_date_day2</t>
        </is>
      </c>
      <c r="Q4" s="15" t="inlineStr">
        <is>
          <t>changed_on_day2</t>
        </is>
      </c>
      <c r="R4" s="15" t="inlineStr">
        <is>
          <t>raw_answers_url</t>
        </is>
      </c>
      <c r="S4" s="15" t="inlineStr">
        <is>
          <t>priority</t>
        </is>
      </c>
      <c r="T4" s="15" t="inlineStr">
        <is>
          <t>notes</t>
        </is>
      </c>
      <c r="U4" s="15" t="inlineStr">
        <is>
          <t>duplicate_check</t>
        </is>
      </c>
      <c r="V4" s="15" t="inlineStr">
        <is>
          <t>completeness_check</t>
        </is>
      </c>
    </row>
    <row r="5">
      <c r="A5" s="17" t="inlineStr">
        <is>
          <t>Q-001</t>
        </is>
      </c>
      <c r="B5" s="5" t="inlineStr">
        <is>
          <t>How can video creators automate b-roll selection using AI?</t>
        </is>
      </c>
      <c r="C5" s="5" t="inlineStr">
        <is>
          <t>Informational</t>
        </is>
      </c>
      <c r="D5" s="5" t="inlineStr">
        <is>
          <t>Google Search Suggestions</t>
        </is>
      </c>
      <c r="E5" s="5" t="inlineStr">
        <is>
          <t>https://google.com/search?q=automate+b-roll+selection+ai</t>
        </is>
      </c>
      <c r="F5" s="5" t="inlineStr">
        <is>
          <t>US</t>
        </is>
      </c>
      <c r="G5" s="17" t="inlineStr">
        <is>
          <t>#2</t>
        </is>
      </c>
      <c r="H5" s="17" t="inlineStr">
        <is>
          <t>Yes (Quotes runwayml.com)</t>
        </is>
      </c>
      <c r="I5" s="17" t="inlineStr">
        <is>
          <t>https://g2.com/categories/video-editing</t>
        </is>
      </c>
      <c r="J5" s="17" t="inlineStr">
        <is>
          <t>Mentioned (Text only)</t>
        </is>
      </c>
      <c r="K5" s="17" t="inlineStr">
        <is>
          <t>Mentioned</t>
        </is>
      </c>
      <c r="L5" s="17" t="inlineStr">
        <is>
          <t>Cited with Link</t>
        </is>
      </c>
      <c r="M5" s="17" t="inlineStr">
        <is>
          <t>Mentioned</t>
        </is>
      </c>
      <c r="N5" s="17" t="inlineStr">
        <is>
          <t>Runway, Descript, InVideo</t>
        </is>
      </c>
      <c r="O5" s="17" t="inlineStr">
        <is>
          <t>2026-10-21</t>
        </is>
      </c>
      <c r="P5" s="17" t="inlineStr">
        <is>
          <t>2026-10-23</t>
        </is>
      </c>
      <c r="Q5" s="17" t="inlineStr">
        <is>
          <t>Yes (Perplexity citation added)</t>
        </is>
      </c>
      <c r="R5" s="17" t="inlineStr">
        <is>
          <t>visibility/raw_answers/sample_raw_answers_audit.json#Q-001</t>
        </is>
      </c>
      <c r="S5" s="17" t="inlineStr">
        <is>
          <t>High</t>
        </is>
      </c>
      <c r="T5" s="17" t="inlineStr">
        <is>
          <t>Location verified: New York, NY</t>
        </is>
      </c>
      <c r="U5" s="18">
        <f>IF(COUNTIF(A$5:A$104, A5)=1, "UNIQUE", "DUPLICATE")</f>
        <v/>
      </c>
      <c r="V5" s="18">
        <f>IF(AND(B5&lt;&gt;"", F5&lt;&gt;""), "COMPLETE", "INCOMPLETE")</f>
        <v/>
      </c>
    </row>
    <row r="6">
      <c r="A6" s="17" t="inlineStr">
        <is>
          <t>Q-002</t>
        </is>
      </c>
      <c r="B6" s="5" t="inlineStr">
        <is>
          <t>Best AI tools to automatically add b-roll to talking head videos</t>
        </is>
      </c>
      <c r="C6" s="5" t="inlineStr">
        <is>
          <t>Commercial</t>
        </is>
      </c>
      <c r="D6" s="5" t="inlineStr">
        <is>
          <t>Reddit r/VideoEditing</t>
        </is>
      </c>
      <c r="E6" s="5" t="inlineStr">
        <is>
          <t>https://reddit.com/r/VideoEditing/comments/broll_tools</t>
        </is>
      </c>
      <c r="F6" s="5" t="inlineStr">
        <is>
          <t>US</t>
        </is>
      </c>
      <c r="G6" s="17" t="inlineStr">
        <is>
          <t>#2</t>
        </is>
      </c>
      <c r="H6" s="17" t="inlineStr">
        <is>
          <t>Yes (Quotes runwayml.com)</t>
        </is>
      </c>
      <c r="I6" s="17" t="inlineStr">
        <is>
          <t>https://pcmag.com/articles/ai-video-tools</t>
        </is>
      </c>
      <c r="J6" s="17" t="inlineStr">
        <is>
          <t>Mentioned (Text only)</t>
        </is>
      </c>
      <c r="K6" s="17" t="inlineStr">
        <is>
          <t>Not mentioned</t>
        </is>
      </c>
      <c r="L6" s="17" t="inlineStr">
        <is>
          <t>Cited with Link</t>
        </is>
      </c>
      <c r="M6" s="17" t="inlineStr">
        <is>
          <t>Mentioned</t>
        </is>
      </c>
      <c r="N6" s="17" t="inlineStr">
        <is>
          <t>Runway, Descript, InVideo</t>
        </is>
      </c>
      <c r="O6" s="17" t="inlineStr">
        <is>
          <t>2026-10-21</t>
        </is>
      </c>
      <c r="P6" s="17" t="inlineStr">
        <is>
          <t>2026-10-23</t>
        </is>
      </c>
      <c r="Q6" s="17" t="inlineStr">
        <is>
          <t>Yes (Perplexity citation added)</t>
        </is>
      </c>
      <c r="R6" s="17" t="inlineStr">
        <is>
          <t>visibility/raw_answers/sample_raw_answers_audit.json#Q-002</t>
        </is>
      </c>
      <c r="S6" s="17" t="inlineStr">
        <is>
          <t>High</t>
        </is>
      </c>
      <c r="T6" s="17" t="inlineStr">
        <is>
          <t>Location verified: San Francisco, CA</t>
        </is>
      </c>
      <c r="U6" s="18">
        <f>IF(COUNTIF(A$5:A$104, A6)=1, "UNIQUE", "DUPLICATE")</f>
        <v/>
      </c>
      <c r="V6" s="18">
        <f>IF(AND(B6&lt;&gt;"", F6&lt;&gt;""), "COMPLETE", "INCOMPLETE")</f>
        <v/>
      </c>
    </row>
    <row r="7">
      <c r="A7" s="17" t="inlineStr">
        <is>
          <t>Q-003</t>
        </is>
      </c>
      <c r="B7" s="5" t="inlineStr">
        <is>
          <t>How to turn podcast audio into video with automated visual b-roll</t>
        </is>
      </c>
      <c r="C7" s="5" t="inlineStr">
        <is>
          <t>Informational</t>
        </is>
      </c>
      <c r="D7" s="5" t="inlineStr">
        <is>
          <t>YouTube Creator Community</t>
        </is>
      </c>
      <c r="E7" s="5" t="inlineStr">
        <is>
          <t>https://youtube.com/watch?v=podcast-broll-automation</t>
        </is>
      </c>
      <c r="F7" s="5" t="inlineStr">
        <is>
          <t>US</t>
        </is>
      </c>
      <c r="G7" s="17" t="inlineStr">
        <is>
          <t>#3</t>
        </is>
      </c>
      <c r="H7" s="17" t="inlineStr">
        <is>
          <t>Yes (Quotes runwayml.com)</t>
        </is>
      </c>
      <c r="I7" s="17" t="inlineStr">
        <is>
          <t>https://g2.com/categories/video-editing</t>
        </is>
      </c>
      <c r="J7" s="17" t="inlineStr">
        <is>
          <t>Mentioned (Text only)</t>
        </is>
      </c>
      <c r="K7" s="17" t="inlineStr">
        <is>
          <t>Not mentioned</t>
        </is>
      </c>
      <c r="L7" s="17" t="inlineStr">
        <is>
          <t>Cited with Link</t>
        </is>
      </c>
      <c r="M7" s="17" t="inlineStr">
        <is>
          <t>Mentioned</t>
        </is>
      </c>
      <c r="N7" s="17" t="inlineStr">
        <is>
          <t>Runway, Descript, InVideo</t>
        </is>
      </c>
      <c r="O7" s="17" t="inlineStr">
        <is>
          <t>2026-10-21</t>
        </is>
      </c>
      <c r="P7" s="17" t="inlineStr">
        <is>
          <t>2026-10-23</t>
        </is>
      </c>
      <c r="Q7" s="17" t="inlineStr">
        <is>
          <t>Yes (Perplexity citation added)</t>
        </is>
      </c>
      <c r="R7" s="17" t="inlineStr">
        <is>
          <t>visibility/raw_answers/sample_raw_answers_audit.json#Q-003</t>
        </is>
      </c>
      <c r="S7" s="17" t="inlineStr">
        <is>
          <t>High</t>
        </is>
      </c>
      <c r="T7" s="17" t="inlineStr">
        <is>
          <t>Location verified: Austin, TX</t>
        </is>
      </c>
      <c r="U7" s="18">
        <f>IF(COUNTIF(A$5:A$104, A7)=1, "UNIQUE", "DUPLICATE")</f>
        <v/>
      </c>
      <c r="V7" s="18">
        <f>IF(AND(B7&lt;&gt;"", F7&lt;&gt;""), "COMPLETE", "INCOMPLETE")</f>
        <v/>
      </c>
    </row>
    <row r="8">
      <c r="A8" s="17" t="inlineStr">
        <is>
          <t>Q-004</t>
        </is>
      </c>
      <c r="B8" s="5" t="inlineStr">
        <is>
          <t>How does script-to-broll automation match stock footage to speech?</t>
        </is>
      </c>
      <c r="C8" s="5" t="inlineStr">
        <is>
          <t>Informational</t>
        </is>
      </c>
      <c r="D8" s="5" t="inlineStr">
        <is>
          <t>Google People Also Ask</t>
        </is>
      </c>
      <c r="E8" s="5" t="inlineStr">
        <is>
          <t>https://google.com/search?q=script+to+broll+match</t>
        </is>
      </c>
      <c r="F8" s="5" t="inlineStr">
        <is>
          <t>US</t>
        </is>
      </c>
      <c r="G8" s="17" t="inlineStr">
        <is>
          <t>#3</t>
        </is>
      </c>
      <c r="H8" s="17" t="inlineStr">
        <is>
          <t>Yes (Quotes runwayml.com)</t>
        </is>
      </c>
      <c r="I8" s="17" t="inlineStr">
        <is>
          <t>https://pcmag.com/articles/ai-video-tools</t>
        </is>
      </c>
      <c r="J8" s="17" t="inlineStr">
        <is>
          <t>Mentioned (Text only)</t>
        </is>
      </c>
      <c r="K8" s="17" t="inlineStr">
        <is>
          <t>Not mentioned</t>
        </is>
      </c>
      <c r="L8" s="17" t="inlineStr">
        <is>
          <t>Cited with Link</t>
        </is>
      </c>
      <c r="M8" s="17" t="inlineStr">
        <is>
          <t>Not mentioned</t>
        </is>
      </c>
      <c r="N8" s="17" t="inlineStr">
        <is>
          <t>Runway, Descript, InVideo</t>
        </is>
      </c>
      <c r="O8" s="17" t="inlineStr">
        <is>
          <t>2026-10-21</t>
        </is>
      </c>
      <c r="P8" s="17" t="inlineStr">
        <is>
          <t>2026-10-23</t>
        </is>
      </c>
      <c r="Q8" s="17" t="inlineStr">
        <is>
          <t>Yes (Perplexity citation added)</t>
        </is>
      </c>
      <c r="R8" s="17" t="inlineStr">
        <is>
          <t>visibility/raw_answers/sample_raw_answers_audit.json#Q-004</t>
        </is>
      </c>
      <c r="S8" s="17" t="inlineStr">
        <is>
          <t>High</t>
        </is>
      </c>
      <c r="T8" s="17" t="inlineStr">
        <is>
          <t>Location verified: Los Angeles, CA</t>
        </is>
      </c>
      <c r="U8" s="18">
        <f>IF(COUNTIF(A$5:A$104, A8)=1, "UNIQUE", "DUPLICATE")</f>
        <v/>
      </c>
      <c r="V8" s="18">
        <f>IF(AND(B8&lt;&gt;"", F8&lt;&gt;""), "COMPLETE", "INCOMPLETE")</f>
        <v/>
      </c>
    </row>
    <row r="9">
      <c r="A9" s="17" t="inlineStr">
        <is>
          <t>Q-005</t>
        </is>
      </c>
      <c r="B9" s="5" t="inlineStr">
        <is>
          <t>Can AI automatically detect video script pacing and insert stock clips?</t>
        </is>
      </c>
      <c r="C9" s="5" t="inlineStr">
        <is>
          <t>Informational</t>
        </is>
      </c>
      <c r="D9" s="5" t="inlineStr">
        <is>
          <t>Quora</t>
        </is>
      </c>
      <c r="E9" s="5" t="inlineStr">
        <is>
          <t>https://quora.com/ai-video-pacing-broll</t>
        </is>
      </c>
      <c r="F9" s="5" t="inlineStr">
        <is>
          <t>UK</t>
        </is>
      </c>
      <c r="G9" s="17" t="inlineStr">
        <is>
          <t>&gt;10</t>
        </is>
      </c>
      <c r="H9" s="17" t="inlineStr">
        <is>
          <t>No</t>
        </is>
      </c>
      <c r="I9" s="17" t="inlineStr">
        <is>
          <t>https://g2.com/categories/video-editing</t>
        </is>
      </c>
      <c r="J9" s="17" t="inlineStr">
        <is>
          <t>Not mentioned</t>
        </is>
      </c>
      <c r="K9" s="17" t="inlineStr">
        <is>
          <t>Not mentioned</t>
        </is>
      </c>
      <c r="L9" s="17" t="inlineStr">
        <is>
          <t>Not cited</t>
        </is>
      </c>
      <c r="M9" s="17" t="inlineStr">
        <is>
          <t>Not mentioned</t>
        </is>
      </c>
      <c r="N9" s="17" t="inlineStr">
        <is>
          <t>Runway, Descript, InVideo</t>
        </is>
      </c>
      <c r="O9" s="17" t="inlineStr">
        <is>
          <t>2026-10-21</t>
        </is>
      </c>
      <c r="P9" s="17" t="inlineStr">
        <is>
          <t>2026-10-23</t>
        </is>
      </c>
      <c r="Q9" s="17" t="inlineStr">
        <is>
          <t>No change</t>
        </is>
      </c>
      <c r="R9" s="17" t="inlineStr">
        <is>
          <t>visibility/raw_answers/sample_raw_answers_audit.json#Q-005</t>
        </is>
      </c>
      <c r="S9" s="17" t="inlineStr">
        <is>
          <t>Medium</t>
        </is>
      </c>
      <c r="T9" s="17" t="inlineStr">
        <is>
          <t>Location verified: London, UK</t>
        </is>
      </c>
      <c r="U9" s="18">
        <f>IF(COUNTIF(A$5:A$104, A9)=1, "UNIQUE", "DUPLICATE")</f>
        <v/>
      </c>
      <c r="V9" s="18">
        <f>IF(AND(B9&lt;&gt;"", F9&lt;&gt;""), "COMPLETE", "INCOMPLETE")</f>
        <v/>
      </c>
    </row>
    <row r="10">
      <c r="A10" s="17" t="inlineStr">
        <is>
          <t>Q-006</t>
        </is>
      </c>
      <c r="B10" s="5" t="inlineStr">
        <is>
          <t>What are the best free tools for automatic b-roll generation for YouTube?</t>
        </is>
      </c>
      <c r="C10" s="5" t="inlineStr">
        <is>
          <t>Commercial</t>
        </is>
      </c>
      <c r="D10" s="5" t="inlineStr">
        <is>
          <t>Google Search Suggestions</t>
        </is>
      </c>
      <c r="E10" s="5" t="inlineStr">
        <is>
          <t>https://google.com/search?q=free+automatic+broll+youtube</t>
        </is>
      </c>
      <c r="F10" s="5" t="inlineStr">
        <is>
          <t>IN</t>
        </is>
      </c>
      <c r="G10" s="17" t="inlineStr">
        <is>
          <t>&gt;10</t>
        </is>
      </c>
      <c r="H10" s="17" t="inlineStr">
        <is>
          <t>No</t>
        </is>
      </c>
      <c r="I10" s="17" t="inlineStr">
        <is>
          <t>https://pcmag.com/articles/ai-video-tools</t>
        </is>
      </c>
      <c r="J10" s="17" t="inlineStr">
        <is>
          <t>Not mentioned</t>
        </is>
      </c>
      <c r="K10" s="17" t="inlineStr">
        <is>
          <t>Not mentioned</t>
        </is>
      </c>
      <c r="L10" s="17" t="inlineStr">
        <is>
          <t>Not cited</t>
        </is>
      </c>
      <c r="M10" s="17" t="inlineStr">
        <is>
          <t>Not mentioned</t>
        </is>
      </c>
      <c r="N10" s="17" t="inlineStr">
        <is>
          <t>Runway, Descript, InVideo</t>
        </is>
      </c>
      <c r="O10" s="17" t="inlineStr">
        <is>
          <t>2026-10-21</t>
        </is>
      </c>
      <c r="P10" s="17" t="inlineStr">
        <is>
          <t>2026-10-23</t>
        </is>
      </c>
      <c r="Q10" s="17" t="inlineStr">
        <is>
          <t>No change</t>
        </is>
      </c>
      <c r="R10" s="17" t="inlineStr">
        <is>
          <t>visibility/raw_answers/sample_raw_answers_audit.json#Q-006</t>
        </is>
      </c>
      <c r="S10" s="17" t="inlineStr">
        <is>
          <t>Medium</t>
        </is>
      </c>
      <c r="T10" s="17" t="inlineStr">
        <is>
          <t>Location verified: Bengaluru, IN</t>
        </is>
      </c>
      <c r="U10" s="18">
        <f>IF(COUNTIF(A$5:A$104, A10)=1, "UNIQUE", "DUPLICATE")</f>
        <v/>
      </c>
      <c r="V10" s="18">
        <f>IF(AND(B10&lt;&gt;"", F10&lt;&gt;""), "COMPLETE", "INCOMPLETE")</f>
        <v/>
      </c>
    </row>
    <row r="11">
      <c r="A11" s="17" t="inlineStr">
        <is>
          <t>Q-007</t>
        </is>
      </c>
      <c r="B11" s="5" t="inlineStr">
        <is>
          <t>How to generate cinematic b-roll for faceless YouTube channels with AI</t>
        </is>
      </c>
      <c r="C11" s="5" t="inlineStr">
        <is>
          <t>Informational</t>
        </is>
      </c>
      <c r="D11" s="5" t="inlineStr">
        <is>
          <t>Reddit r/YouTube</t>
        </is>
      </c>
      <c r="E11" s="5" t="inlineStr">
        <is>
          <t>https://reddit.com/r/YouTube/comments/faceless_broll</t>
        </is>
      </c>
      <c r="F11" s="5" t="inlineStr">
        <is>
          <t>IN</t>
        </is>
      </c>
      <c r="G11" s="17" t="inlineStr">
        <is>
          <t>&gt;10</t>
        </is>
      </c>
      <c r="H11" s="17" t="inlineStr">
        <is>
          <t>No</t>
        </is>
      </c>
      <c r="I11" s="17" t="inlineStr">
        <is>
          <t>https://g2.com/categories/video-editing</t>
        </is>
      </c>
      <c r="J11" s="17" t="inlineStr">
        <is>
          <t>Not mentioned</t>
        </is>
      </c>
      <c r="K11" s="17" t="inlineStr">
        <is>
          <t>Not mentioned</t>
        </is>
      </c>
      <c r="L11" s="17" t="inlineStr">
        <is>
          <t>Not cited</t>
        </is>
      </c>
      <c r="M11" s="17" t="inlineStr">
        <is>
          <t>Not mentioned</t>
        </is>
      </c>
      <c r="N11" s="17" t="inlineStr">
        <is>
          <t>Runway, Descript, InVideo</t>
        </is>
      </c>
      <c r="O11" s="17" t="inlineStr">
        <is>
          <t>2026-10-21</t>
        </is>
      </c>
      <c r="P11" s="17" t="inlineStr">
        <is>
          <t>2026-10-23</t>
        </is>
      </c>
      <c r="Q11" s="17" t="inlineStr">
        <is>
          <t>No change</t>
        </is>
      </c>
      <c r="R11" s="17" t="inlineStr">
        <is>
          <t>visibility/raw_answers/sample_raw_answers_audit.json#Q-007</t>
        </is>
      </c>
      <c r="S11" s="17" t="inlineStr">
        <is>
          <t>Medium</t>
        </is>
      </c>
      <c r="T11" s="17" t="inlineStr">
        <is>
          <t>Location verified: Mumbai, IN</t>
        </is>
      </c>
      <c r="U11" s="18">
        <f>IF(COUNTIF(A$5:A$104, A11)=1, "UNIQUE", "DUPLICATE")</f>
        <v/>
      </c>
      <c r="V11" s="18">
        <f>IF(AND(B11&lt;&gt;"", F11&lt;&gt;""), "COMPLETE", "INCOMPLETE")</f>
        <v/>
      </c>
    </row>
    <row r="12">
      <c r="A12" s="17" t="inlineStr">
        <is>
          <t>Q-008</t>
        </is>
      </c>
      <c r="B12" s="5" t="inlineStr">
        <is>
          <t>Tools that automatically pull stock video clips based on transcript keywords</t>
        </is>
      </c>
      <c r="C12" s="5" t="inlineStr">
        <is>
          <t>Commercial</t>
        </is>
      </c>
      <c r="D12" s="5" t="inlineStr">
        <is>
          <t>Google Search Suggestions</t>
        </is>
      </c>
      <c r="E12" s="5" t="inlineStr">
        <is>
          <t>https://google.com/search?q=transcript+keyword+stock+video</t>
        </is>
      </c>
      <c r="F12" s="5" t="inlineStr">
        <is>
          <t>US</t>
        </is>
      </c>
      <c r="G12" s="17" t="inlineStr">
        <is>
          <t>&gt;10</t>
        </is>
      </c>
      <c r="H12" s="17" t="inlineStr">
        <is>
          <t>Yes (Quotes runwayml.com)</t>
        </is>
      </c>
      <c r="I12" s="17" t="inlineStr">
        <is>
          <t>https://pcmag.com/articles/ai-video-tools</t>
        </is>
      </c>
      <c r="J12" s="17" t="inlineStr">
        <is>
          <t>Not mentioned</t>
        </is>
      </c>
      <c r="K12" s="17" t="inlineStr">
        <is>
          <t>Not mentioned</t>
        </is>
      </c>
      <c r="L12" s="17" t="inlineStr">
        <is>
          <t>Not cited</t>
        </is>
      </c>
      <c r="M12" s="17" t="inlineStr">
        <is>
          <t>Not mentioned</t>
        </is>
      </c>
      <c r="N12" s="17" t="inlineStr">
        <is>
          <t>Descript, CapCut, Podcastle</t>
        </is>
      </c>
      <c r="O12" s="17" t="inlineStr">
        <is>
          <t>2026-10-21</t>
        </is>
      </c>
      <c r="P12" s="17" t="inlineStr">
        <is>
          <t>2026-10-23</t>
        </is>
      </c>
      <c r="Q12" s="17" t="inlineStr">
        <is>
          <t>No change</t>
        </is>
      </c>
      <c r="R12" s="17" t="inlineStr">
        <is>
          <t>visibility/raw_answers/sample_raw_answers_audit.json#Q-008</t>
        </is>
      </c>
      <c r="S12" s="17" t="inlineStr">
        <is>
          <t>Medium</t>
        </is>
      </c>
      <c r="T12" s="17" t="inlineStr">
        <is>
          <t>Location verified: Chicago, IL</t>
        </is>
      </c>
      <c r="U12" s="18">
        <f>IF(COUNTIF(A$5:A$104, A12)=1, "UNIQUE", "DUPLICATE")</f>
        <v/>
      </c>
      <c r="V12" s="18">
        <f>IF(AND(B12&lt;&gt;"", F12&lt;&gt;""), "COMPLETE", "INCOMPLETE")</f>
        <v/>
      </c>
    </row>
    <row r="13">
      <c r="A13" s="17" t="inlineStr">
        <is>
          <t>Q-009</t>
        </is>
      </c>
      <c r="B13" s="5" t="inlineStr">
        <is>
          <t>How do solo content creators produce high-retention video without manual b-roll editing?</t>
        </is>
      </c>
      <c r="C13" s="5" t="inlineStr">
        <is>
          <t>Informational</t>
        </is>
      </c>
      <c r="D13" s="5" t="inlineStr">
        <is>
          <t>Substack Creator Weekly</t>
        </is>
      </c>
      <c r="E13" s="5" t="inlineStr">
        <is>
          <t>https://creatorweekly.substack.com/p/retention-editing</t>
        </is>
      </c>
      <c r="F13" s="5" t="inlineStr">
        <is>
          <t>US</t>
        </is>
      </c>
      <c r="G13" s="17" t="inlineStr">
        <is>
          <t>&gt;10</t>
        </is>
      </c>
      <c r="H13" s="17" t="inlineStr">
        <is>
          <t>No</t>
        </is>
      </c>
      <c r="I13" s="17" t="inlineStr">
        <is>
          <t>https://g2.com/categories/video-editing</t>
        </is>
      </c>
      <c r="J13" s="17" t="inlineStr">
        <is>
          <t>Not mentioned</t>
        </is>
      </c>
      <c r="K13" s="17" t="inlineStr">
        <is>
          <t>Not mentioned</t>
        </is>
      </c>
      <c r="L13" s="17" t="inlineStr">
        <is>
          <t>Not cited</t>
        </is>
      </c>
      <c r="M13" s="17" t="inlineStr">
        <is>
          <t>Not mentioned</t>
        </is>
      </c>
      <c r="N13" s="17" t="inlineStr">
        <is>
          <t>Runway, Descript, InVideo</t>
        </is>
      </c>
      <c r="O13" s="17" t="inlineStr">
        <is>
          <t>2026-10-21</t>
        </is>
      </c>
      <c r="P13" s="17" t="inlineStr">
        <is>
          <t>2026-10-23</t>
        </is>
      </c>
      <c r="Q13" s="17" t="inlineStr">
        <is>
          <t>No change</t>
        </is>
      </c>
      <c r="R13" s="17" t="inlineStr">
        <is>
          <t>visibility/raw_answers/sample_raw_answers_audit.json#Q-009</t>
        </is>
      </c>
      <c r="S13" s="17" t="inlineStr">
        <is>
          <t>Medium</t>
        </is>
      </c>
      <c r="T13" s="17" t="inlineStr">
        <is>
          <t>Location verified: Seattle, WA</t>
        </is>
      </c>
      <c r="U13" s="18">
        <f>IF(COUNTIF(A$5:A$104, A13)=1, "UNIQUE", "DUPLICATE")</f>
        <v/>
      </c>
      <c r="V13" s="18">
        <f>IF(AND(B13&lt;&gt;"", F13&lt;&gt;""), "COMPLETE", "INCOMPLETE")</f>
        <v/>
      </c>
    </row>
    <row r="14">
      <c r="A14" s="17" t="inlineStr">
        <is>
          <t>Q-010</t>
        </is>
      </c>
      <c r="B14" s="5" t="inlineStr">
        <is>
          <t>Best AI b-roll plugin for DaVinci Resolve and Premiere Pro workflows</t>
        </is>
      </c>
      <c r="C14" s="5" t="inlineStr">
        <is>
          <t>Commercial</t>
        </is>
      </c>
      <c r="D14" s="5" t="inlineStr">
        <is>
          <t>Reddit r/premiere</t>
        </is>
      </c>
      <c r="E14" s="5" t="inlineStr">
        <is>
          <t>https://reddit.com/r/premiere/comments/ai_broll_plugin</t>
        </is>
      </c>
      <c r="F14" s="5" t="inlineStr">
        <is>
          <t>US</t>
        </is>
      </c>
      <c r="G14" s="17" t="inlineStr">
        <is>
          <t>&gt;10</t>
        </is>
      </c>
      <c r="H14" s="17" t="inlineStr">
        <is>
          <t>No</t>
        </is>
      </c>
      <c r="I14" s="17" t="inlineStr">
        <is>
          <t>https://pcmag.com/articles/ai-video-tools</t>
        </is>
      </c>
      <c r="J14" s="17" t="inlineStr">
        <is>
          <t>Not mentioned</t>
        </is>
      </c>
      <c r="K14" s="17" t="inlineStr">
        <is>
          <t>Not mentioned</t>
        </is>
      </c>
      <c r="L14" s="17" t="inlineStr">
        <is>
          <t>Not cited</t>
        </is>
      </c>
      <c r="M14" s="17" t="inlineStr">
        <is>
          <t>Not mentioned</t>
        </is>
      </c>
      <c r="N14" s="17" t="inlineStr">
        <is>
          <t>Runway, Descript, InVideo</t>
        </is>
      </c>
      <c r="O14" s="17" t="inlineStr">
        <is>
          <t>2026-10-21</t>
        </is>
      </c>
      <c r="P14" s="17" t="inlineStr">
        <is>
          <t>2026-10-23</t>
        </is>
      </c>
      <c r="Q14" s="17" t="inlineStr">
        <is>
          <t>No change</t>
        </is>
      </c>
      <c r="R14" s="17" t="inlineStr">
        <is>
          <t>visibility/raw_answers/sample_raw_answers_audit.json#Q-010</t>
        </is>
      </c>
      <c r="S14" s="17" t="inlineStr">
        <is>
          <t>Medium</t>
        </is>
      </c>
      <c r="T14" s="17" t="inlineStr">
        <is>
          <t>Location verified: Denver, CO</t>
        </is>
      </c>
      <c r="U14" s="18">
        <f>IF(COUNTIF(A$5:A$104, A14)=1, "UNIQUE", "DUPLICATE")</f>
        <v/>
      </c>
      <c r="V14" s="18">
        <f>IF(AND(B14&lt;&gt;"", F14&lt;&gt;""), "COMPLETE", "INCOMPLETE")</f>
        <v/>
      </c>
    </row>
    <row r="15">
      <c r="A15" s="17" t="inlineStr">
        <is>
          <t>Q-011</t>
        </is>
      </c>
      <c r="B15" s="5" t="inlineStr">
        <is>
          <t>How to automate commercial license stock footage selection for client videos</t>
        </is>
      </c>
      <c r="C15" s="5" t="inlineStr">
        <is>
          <t>Informational</t>
        </is>
      </c>
      <c r="D15" s="5" t="inlineStr">
        <is>
          <t>Google People Also Ask</t>
        </is>
      </c>
      <c r="E15" s="5" t="inlineStr">
        <is>
          <t>https://google.com/search?q=commercial+stock+footage+ai</t>
        </is>
      </c>
      <c r="F15" s="5" t="inlineStr">
        <is>
          <t>US</t>
        </is>
      </c>
      <c r="G15" s="17" t="inlineStr">
        <is>
          <t>&gt;10</t>
        </is>
      </c>
      <c r="H15" s="17" t="inlineStr">
        <is>
          <t>No</t>
        </is>
      </c>
      <c r="I15" s="17" t="inlineStr">
        <is>
          <t>https://g2.com/categories/video-editing</t>
        </is>
      </c>
      <c r="J15" s="17" t="inlineStr">
        <is>
          <t>Not mentioned</t>
        </is>
      </c>
      <c r="K15" s="17" t="inlineStr">
        <is>
          <t>Not mentioned</t>
        </is>
      </c>
      <c r="L15" s="17" t="inlineStr">
        <is>
          <t>Not cited</t>
        </is>
      </c>
      <c r="M15" s="17" t="inlineStr">
        <is>
          <t>Not mentioned</t>
        </is>
      </c>
      <c r="N15" s="17" t="inlineStr">
        <is>
          <t>Runway, Descript, InVideo</t>
        </is>
      </c>
      <c r="O15" s="17" t="inlineStr">
        <is>
          <t>2026-10-21</t>
        </is>
      </c>
      <c r="P15" s="17" t="inlineStr">
        <is>
          <t>2026-10-23</t>
        </is>
      </c>
      <c r="Q15" s="17" t="inlineStr">
        <is>
          <t>No change</t>
        </is>
      </c>
      <c r="R15" s="17" t="inlineStr">
        <is>
          <t>visibility/raw_answers/sample_raw_answers_audit.json#Q-011</t>
        </is>
      </c>
      <c r="S15" s="17" t="inlineStr">
        <is>
          <t>Medium</t>
        </is>
      </c>
      <c r="T15" s="17" t="inlineStr">
        <is>
          <t>Location verified: Boston, MA</t>
        </is>
      </c>
      <c r="U15" s="18">
        <f>IF(COUNTIF(A$5:A$104, A15)=1, "UNIQUE", "DUPLICATE")</f>
        <v/>
      </c>
      <c r="V15" s="18">
        <f>IF(AND(B15&lt;&gt;"", F15&lt;&gt;""), "COMPLETE", "INCOMPLETE")</f>
        <v/>
      </c>
    </row>
    <row r="16">
      <c r="A16" s="17" t="inlineStr">
        <is>
          <t>Q-012</t>
        </is>
      </c>
      <c r="B16" s="5" t="inlineStr">
        <is>
          <t>How to turn voiceover MP3 into video with relevant background footage</t>
        </is>
      </c>
      <c r="C16" s="5" t="inlineStr">
        <is>
          <t>Informational</t>
        </is>
      </c>
      <c r="D16" s="5" t="inlineStr">
        <is>
          <t>Quora</t>
        </is>
      </c>
      <c r="E16" s="5" t="inlineStr">
        <is>
          <t>https://quora.com/voiceover-to-video-background-footage</t>
        </is>
      </c>
      <c r="F16" s="5" t="inlineStr">
        <is>
          <t>UK</t>
        </is>
      </c>
      <c r="G16" s="17" t="inlineStr">
        <is>
          <t>&gt;10</t>
        </is>
      </c>
      <c r="H16" s="17" t="inlineStr">
        <is>
          <t>Yes (Quotes runwayml.com)</t>
        </is>
      </c>
      <c r="I16" s="17" t="inlineStr">
        <is>
          <t>https://pcmag.com/articles/ai-video-tools</t>
        </is>
      </c>
      <c r="J16" s="17" t="inlineStr">
        <is>
          <t>Not mentioned</t>
        </is>
      </c>
      <c r="K16" s="17" t="inlineStr">
        <is>
          <t>Not mentioned</t>
        </is>
      </c>
      <c r="L16" s="17" t="inlineStr">
        <is>
          <t>Not cited</t>
        </is>
      </c>
      <c r="M16" s="17" t="inlineStr">
        <is>
          <t>Not mentioned</t>
        </is>
      </c>
      <c r="N16" s="17" t="inlineStr">
        <is>
          <t>Runway, Descript, InVideo</t>
        </is>
      </c>
      <c r="O16" s="17" t="inlineStr">
        <is>
          <t>2026-10-21</t>
        </is>
      </c>
      <c r="P16" s="17" t="inlineStr">
        <is>
          <t>2026-10-23</t>
        </is>
      </c>
      <c r="Q16" s="17" t="inlineStr">
        <is>
          <t>No change</t>
        </is>
      </c>
      <c r="R16" s="17" t="inlineStr">
        <is>
          <t>visibility/raw_answers/sample_raw_answers_audit.json#Q-012</t>
        </is>
      </c>
      <c r="S16" s="17" t="inlineStr">
        <is>
          <t>Medium</t>
        </is>
      </c>
      <c r="T16" s="17" t="inlineStr">
        <is>
          <t>Location verified: Manchester, UK</t>
        </is>
      </c>
      <c r="U16" s="18">
        <f>IF(COUNTIF(A$5:A$104, A16)=1, "UNIQUE", "DUPLICATE")</f>
        <v/>
      </c>
      <c r="V16" s="18">
        <f>IF(AND(B16&lt;&gt;"", F16&lt;&gt;""), "COMPLETE", "INCOMPLETE")</f>
        <v/>
      </c>
    </row>
    <row r="17">
      <c r="A17" s="17" t="inlineStr">
        <is>
          <t>Q-013</t>
        </is>
      </c>
      <c r="B17" s="5" t="inlineStr">
        <is>
          <t>How to sync stock video cuts with speech emphasis in video essays</t>
        </is>
      </c>
      <c r="C17" s="5" t="inlineStr">
        <is>
          <t>Informational</t>
        </is>
      </c>
      <c r="D17" s="5" t="inlineStr">
        <is>
          <t>Reddit r/VideoEditing</t>
        </is>
      </c>
      <c r="E17" s="5" t="inlineStr">
        <is>
          <t>https://reddit.com/r/VideoEditing/comments/speech_sync</t>
        </is>
      </c>
      <c r="F17" s="5" t="inlineStr">
        <is>
          <t>US</t>
        </is>
      </c>
      <c r="G17" s="17" t="inlineStr">
        <is>
          <t>&gt;10</t>
        </is>
      </c>
      <c r="H17" s="17" t="inlineStr">
        <is>
          <t>No</t>
        </is>
      </c>
      <c r="I17" s="17" t="inlineStr">
        <is>
          <t>https://g2.com/categories/video-editing</t>
        </is>
      </c>
      <c r="J17" s="17" t="inlineStr">
        <is>
          <t>Not mentioned</t>
        </is>
      </c>
      <c r="K17" s="17" t="inlineStr">
        <is>
          <t>Not mentioned</t>
        </is>
      </c>
      <c r="L17" s="17" t="inlineStr">
        <is>
          <t>Not cited</t>
        </is>
      </c>
      <c r="M17" s="17" t="inlineStr">
        <is>
          <t>Not mentioned</t>
        </is>
      </c>
      <c r="N17" s="17" t="inlineStr">
        <is>
          <t>Runway, Descript, InVideo</t>
        </is>
      </c>
      <c r="O17" s="17" t="inlineStr">
        <is>
          <t>2026-10-21</t>
        </is>
      </c>
      <c r="P17" s="17" t="inlineStr">
        <is>
          <t>2026-10-23</t>
        </is>
      </c>
      <c r="Q17" s="17" t="inlineStr">
        <is>
          <t>No change</t>
        </is>
      </c>
      <c r="R17" s="17" t="inlineStr">
        <is>
          <t>visibility/raw_answers/sample_raw_answers_audit.json#Q-013</t>
        </is>
      </c>
      <c r="S17" s="17" t="inlineStr">
        <is>
          <t>Medium</t>
        </is>
      </c>
      <c r="T17" s="17" t="inlineStr">
        <is>
          <t>Location verified: New York, NY</t>
        </is>
      </c>
      <c r="U17" s="18">
        <f>IF(COUNTIF(A$5:A$104, A17)=1, "UNIQUE", "DUPLICATE")</f>
        <v/>
      </c>
      <c r="V17" s="18">
        <f>IF(AND(B17&lt;&gt;"", F17&lt;&gt;""), "COMPLETE", "INCOMPLETE")</f>
        <v/>
      </c>
    </row>
    <row r="18">
      <c r="A18" s="17" t="inlineStr">
        <is>
          <t>Q-014</t>
        </is>
      </c>
      <c r="B18" s="5" t="inlineStr">
        <is>
          <t>What is the fastest way to add B-roll to 1-hour interview podcasts?</t>
        </is>
      </c>
      <c r="C18" s="5" t="inlineStr">
        <is>
          <t>Informational</t>
        </is>
      </c>
      <c r="D18" s="5" t="inlineStr">
        <is>
          <t>YouTube Creator Community</t>
        </is>
      </c>
      <c r="E18" s="5" t="inlineStr">
        <is>
          <t>https://youtube.com/watch?v=podcast-editing-fast</t>
        </is>
      </c>
      <c r="F18" s="5" t="inlineStr">
        <is>
          <t>US</t>
        </is>
      </c>
      <c r="G18" s="17" t="inlineStr">
        <is>
          <t>&gt;10</t>
        </is>
      </c>
      <c r="H18" s="17" t="inlineStr">
        <is>
          <t>No</t>
        </is>
      </c>
      <c r="I18" s="17" t="inlineStr">
        <is>
          <t>https://pcmag.com/articles/ai-video-tools</t>
        </is>
      </c>
      <c r="J18" s="17" t="inlineStr">
        <is>
          <t>Not mentioned</t>
        </is>
      </c>
      <c r="K18" s="17" t="inlineStr">
        <is>
          <t>Not mentioned</t>
        </is>
      </c>
      <c r="L18" s="17" t="inlineStr">
        <is>
          <t>Not cited</t>
        </is>
      </c>
      <c r="M18" s="17" t="inlineStr">
        <is>
          <t>Not mentioned</t>
        </is>
      </c>
      <c r="N18" s="17" t="inlineStr">
        <is>
          <t>Runway, Descript, InVideo</t>
        </is>
      </c>
      <c r="O18" s="17" t="inlineStr">
        <is>
          <t>2026-10-21</t>
        </is>
      </c>
      <c r="P18" s="17" t="inlineStr">
        <is>
          <t>2026-10-23</t>
        </is>
      </c>
      <c r="Q18" s="17" t="inlineStr">
        <is>
          <t>No change</t>
        </is>
      </c>
      <c r="R18" s="17" t="inlineStr">
        <is>
          <t>visibility/raw_answers/sample_raw_answers_audit.json#Q-014</t>
        </is>
      </c>
      <c r="S18" s="17" t="inlineStr">
        <is>
          <t>Medium</t>
        </is>
      </c>
      <c r="T18" s="17" t="inlineStr">
        <is>
          <t>Location verified: Atlanta, GA</t>
        </is>
      </c>
      <c r="U18" s="18">
        <f>IF(COUNTIF(A$5:A$104, A18)=1, "UNIQUE", "DUPLICATE")</f>
        <v/>
      </c>
      <c r="V18" s="18">
        <f>IF(AND(B18&lt;&gt;"", F18&lt;&gt;""), "COMPLETE", "INCOMPLETE")</f>
        <v/>
      </c>
    </row>
    <row r="19">
      <c r="A19" s="17" t="inlineStr">
        <is>
          <t>Q-015</t>
        </is>
      </c>
      <c r="B19" s="5" t="inlineStr">
        <is>
          <t>Best budget AI video b-roll maker for educational course creators</t>
        </is>
      </c>
      <c r="C19" s="5" t="inlineStr">
        <is>
          <t>Commercial</t>
        </is>
      </c>
      <c r="D19" s="5" t="inlineStr">
        <is>
          <t>Google Search Suggestions</t>
        </is>
      </c>
      <c r="E19" s="5" t="inlineStr">
        <is>
          <t>https://google.com/search?q=budget+broll+maker+courses</t>
        </is>
      </c>
      <c r="F19" s="5" t="inlineStr">
        <is>
          <t>IN</t>
        </is>
      </c>
      <c r="G19" s="17" t="inlineStr">
        <is>
          <t>&gt;10</t>
        </is>
      </c>
      <c r="H19" s="17" t="inlineStr">
        <is>
          <t>No</t>
        </is>
      </c>
      <c r="I19" s="17" t="inlineStr">
        <is>
          <t>https://g2.com/categories/video-editing</t>
        </is>
      </c>
      <c r="J19" s="17" t="inlineStr">
        <is>
          <t>Not mentioned</t>
        </is>
      </c>
      <c r="K19" s="17" t="inlineStr">
        <is>
          <t>Not mentioned</t>
        </is>
      </c>
      <c r="L19" s="17" t="inlineStr">
        <is>
          <t>Not cited</t>
        </is>
      </c>
      <c r="M19" s="17" t="inlineStr">
        <is>
          <t>Not mentioned</t>
        </is>
      </c>
      <c r="N19" s="17" t="inlineStr">
        <is>
          <t>Runway, Descript, InVideo</t>
        </is>
      </c>
      <c r="O19" s="17" t="inlineStr">
        <is>
          <t>2026-10-21</t>
        </is>
      </c>
      <c r="P19" s="17" t="inlineStr">
        <is>
          <t>2026-10-23</t>
        </is>
      </c>
      <c r="Q19" s="17" t="inlineStr">
        <is>
          <t>No change</t>
        </is>
      </c>
      <c r="R19" s="17" t="inlineStr">
        <is>
          <t>visibility/raw_answers/sample_raw_answers_audit.json#Q-015</t>
        </is>
      </c>
      <c r="S19" s="17" t="inlineStr">
        <is>
          <t>Medium</t>
        </is>
      </c>
      <c r="T19" s="17" t="inlineStr">
        <is>
          <t>Location verified: New Delhi, IN</t>
        </is>
      </c>
      <c r="U19" s="18">
        <f>IF(COUNTIF(A$5:A$104, A19)=1, "UNIQUE", "DUPLICATE")</f>
        <v/>
      </c>
      <c r="V19" s="18">
        <f>IF(AND(B19&lt;&gt;"", F19&lt;&gt;""), "COMPLETE", "INCOMPLETE")</f>
        <v/>
      </c>
    </row>
    <row r="20">
      <c r="A20" s="17" t="inlineStr">
        <is>
          <t>Q-016</t>
        </is>
      </c>
      <c r="B20" s="5" t="inlineStr">
        <is>
          <t>Can AI match local archive footage to video scripts instead of stock sites?</t>
        </is>
      </c>
      <c r="C20" s="5" t="inlineStr">
        <is>
          <t>Informational</t>
        </is>
      </c>
      <c r="D20" s="5" t="inlineStr">
        <is>
          <t>Google People Also Ask</t>
        </is>
      </c>
      <c r="E20" s="5" t="inlineStr">
        <is>
          <t>https://google.com/search?q=local+footage+ai+matching</t>
        </is>
      </c>
      <c r="F20" s="5" t="inlineStr">
        <is>
          <t>US</t>
        </is>
      </c>
      <c r="G20" s="17" t="inlineStr">
        <is>
          <t>#3</t>
        </is>
      </c>
      <c r="H20" s="17" t="inlineStr">
        <is>
          <t>Yes (Quotes runwayml.com)</t>
        </is>
      </c>
      <c r="I20" s="17" t="inlineStr">
        <is>
          <t>https://pcmag.com/articles/ai-video-tools</t>
        </is>
      </c>
      <c r="J20" s="17" t="inlineStr">
        <is>
          <t>Mentioned (Text only)</t>
        </is>
      </c>
      <c r="K20" s="17" t="inlineStr">
        <is>
          <t>Not mentioned</t>
        </is>
      </c>
      <c r="L20" s="17" t="inlineStr">
        <is>
          <t>Cited with Link</t>
        </is>
      </c>
      <c r="M20" s="17" t="inlineStr">
        <is>
          <t>Not mentioned</t>
        </is>
      </c>
      <c r="N20" s="17" t="inlineStr">
        <is>
          <t>Runway, Descript, InVideo</t>
        </is>
      </c>
      <c r="O20" s="17" t="inlineStr">
        <is>
          <t>2026-10-21</t>
        </is>
      </c>
      <c r="P20" s="17" t="inlineStr">
        <is>
          <t>2026-10-23</t>
        </is>
      </c>
      <c r="Q20" s="17" t="inlineStr">
        <is>
          <t>Yes (Perplexity citation added)</t>
        </is>
      </c>
      <c r="R20" s="17" t="inlineStr">
        <is>
          <t>visibility/raw_answers/sample_raw_answers_audit.json#Q-016</t>
        </is>
      </c>
      <c r="S20" s="17" t="inlineStr">
        <is>
          <t>High</t>
        </is>
      </c>
      <c r="T20" s="17" t="inlineStr">
        <is>
          <t>Location verified: San Francisco, CA</t>
        </is>
      </c>
      <c r="U20" s="18">
        <f>IF(COUNTIF(A$5:A$104, A20)=1, "UNIQUE", "DUPLICATE")</f>
        <v/>
      </c>
      <c r="V20" s="18">
        <f>IF(AND(B20&lt;&gt;"", F20&lt;&gt;""), "COMPLETE", "INCOMPLETE")</f>
        <v/>
      </c>
    </row>
    <row r="21">
      <c r="A21" s="17" t="inlineStr">
        <is>
          <t>Q-017</t>
        </is>
      </c>
      <c r="B21" s="5" t="inlineStr">
        <is>
          <t>How to avoid copyright strikes when using automated AI stock footage</t>
        </is>
      </c>
      <c r="C21" s="5" t="inlineStr">
        <is>
          <t>Informational</t>
        </is>
      </c>
      <c r="D21" s="5" t="inlineStr">
        <is>
          <t>Google People Also Ask</t>
        </is>
      </c>
      <c r="E21" s="5" t="inlineStr">
        <is>
          <t>https://google.com/search?q=avoid+copyright+strikes+ai+stock</t>
        </is>
      </c>
      <c r="F21" s="5" t="inlineStr">
        <is>
          <t>US</t>
        </is>
      </c>
      <c r="G21" s="17" t="inlineStr">
        <is>
          <t>&gt;10</t>
        </is>
      </c>
      <c r="H21" s="17" t="inlineStr">
        <is>
          <t>No</t>
        </is>
      </c>
      <c r="I21" s="17" t="inlineStr">
        <is>
          <t>https://g2.com/categories/video-editing</t>
        </is>
      </c>
      <c r="J21" s="17" t="inlineStr">
        <is>
          <t>Not mentioned</t>
        </is>
      </c>
      <c r="K21" s="17" t="inlineStr">
        <is>
          <t>Not mentioned</t>
        </is>
      </c>
      <c r="L21" s="17" t="inlineStr">
        <is>
          <t>Not cited</t>
        </is>
      </c>
      <c r="M21" s="17" t="inlineStr">
        <is>
          <t>Not mentioned</t>
        </is>
      </c>
      <c r="N21" s="17" t="inlineStr">
        <is>
          <t>Runway, Descript, InVideo</t>
        </is>
      </c>
      <c r="O21" s="17" t="inlineStr">
        <is>
          <t>2026-10-21</t>
        </is>
      </c>
      <c r="P21" s="17" t="inlineStr">
        <is>
          <t>2026-10-23</t>
        </is>
      </c>
      <c r="Q21" s="17" t="inlineStr">
        <is>
          <t>No change</t>
        </is>
      </c>
      <c r="R21" s="17" t="inlineStr">
        <is>
          <t>visibility/raw_answers/sample_raw_answers_audit.json#Q-017</t>
        </is>
      </c>
      <c r="S21" s="17" t="inlineStr">
        <is>
          <t>Medium</t>
        </is>
      </c>
      <c r="T21" s="17" t="inlineStr">
        <is>
          <t>Location verified: Austin, TX</t>
        </is>
      </c>
      <c r="U21" s="18">
        <f>IF(COUNTIF(A$5:A$104, A21)=1, "UNIQUE", "DUPLICATE")</f>
        <v/>
      </c>
      <c r="V21" s="18">
        <f>IF(AND(B21&lt;&gt;"", F21&lt;&gt;""), "COMPLETE", "INCOMPLETE")</f>
        <v/>
      </c>
    </row>
    <row r="22">
      <c r="A22" s="17" t="inlineStr">
        <is>
          <t>Q-018</t>
        </is>
      </c>
      <c r="B22" s="5" t="inlineStr">
        <is>
          <t>How to automate vertical b-roll selection for TikTok and Instagram Reels</t>
        </is>
      </c>
      <c r="C22" s="5" t="inlineStr">
        <is>
          <t>Informational</t>
        </is>
      </c>
      <c r="D22" s="5" t="inlineStr">
        <is>
          <t>Reddit r/Tiktokhelp</t>
        </is>
      </c>
      <c r="E22" s="5" t="inlineStr">
        <is>
          <t>https://reddit.com/r/Tiktokhelp/comments/vertical_broll</t>
        </is>
      </c>
      <c r="F22" s="5" t="inlineStr">
        <is>
          <t>UK</t>
        </is>
      </c>
      <c r="G22" s="17" t="inlineStr">
        <is>
          <t>&gt;10</t>
        </is>
      </c>
      <c r="H22" s="17" t="inlineStr">
        <is>
          <t>No</t>
        </is>
      </c>
      <c r="I22" s="17" t="inlineStr">
        <is>
          <t>https://pcmag.com/articles/ai-video-tools</t>
        </is>
      </c>
      <c r="J22" s="17" t="inlineStr">
        <is>
          <t>Not mentioned</t>
        </is>
      </c>
      <c r="K22" s="17" t="inlineStr">
        <is>
          <t>Not mentioned</t>
        </is>
      </c>
      <c r="L22" s="17" t="inlineStr">
        <is>
          <t>Not cited</t>
        </is>
      </c>
      <c r="M22" s="17" t="inlineStr">
        <is>
          <t>Not mentioned</t>
        </is>
      </c>
      <c r="N22" s="17" t="inlineStr">
        <is>
          <t>Runway, Descript, InVideo</t>
        </is>
      </c>
      <c r="O22" s="17" t="inlineStr">
        <is>
          <t>2026-10-21</t>
        </is>
      </c>
      <c r="P22" s="17" t="inlineStr">
        <is>
          <t>2026-10-23</t>
        </is>
      </c>
      <c r="Q22" s="17" t="inlineStr">
        <is>
          <t>No change</t>
        </is>
      </c>
      <c r="R22" s="17" t="inlineStr">
        <is>
          <t>visibility/raw_answers/sample_raw_answers_audit.json#Q-018</t>
        </is>
      </c>
      <c r="S22" s="17" t="inlineStr">
        <is>
          <t>Medium</t>
        </is>
      </c>
      <c r="T22" s="17" t="inlineStr">
        <is>
          <t>Location verified: London, UK</t>
        </is>
      </c>
      <c r="U22" s="18">
        <f>IF(COUNTIF(A$5:A$104, A22)=1, "UNIQUE", "DUPLICATE")</f>
        <v/>
      </c>
      <c r="V22" s="18">
        <f>IF(AND(B22&lt;&gt;"", F22&lt;&gt;""), "COMPLETE", "INCOMPLETE")</f>
        <v/>
      </c>
    </row>
    <row r="23">
      <c r="A23" s="17" t="inlineStr">
        <is>
          <t>Q-019</t>
        </is>
      </c>
      <c r="B23" s="5" t="inlineStr">
        <is>
          <t>Best tool to automatically create educational explainer videos from text notes</t>
        </is>
      </c>
      <c r="C23" s="5" t="inlineStr">
        <is>
          <t>Commercial</t>
        </is>
      </c>
      <c r="D23" s="5" t="inlineStr">
        <is>
          <t>Google Search Suggestions</t>
        </is>
      </c>
      <c r="E23" s="5" t="inlineStr">
        <is>
          <t>https://google.com/search?q=text+to+explainer+video+ai</t>
        </is>
      </c>
      <c r="F23" s="5" t="inlineStr">
        <is>
          <t>IN</t>
        </is>
      </c>
      <c r="G23" s="17" t="inlineStr">
        <is>
          <t>&gt;10</t>
        </is>
      </c>
      <c r="H23" s="17" t="inlineStr">
        <is>
          <t>No</t>
        </is>
      </c>
      <c r="I23" s="17" t="inlineStr">
        <is>
          <t>https://g2.com/categories/video-editing</t>
        </is>
      </c>
      <c r="J23" s="17" t="inlineStr">
        <is>
          <t>Not mentioned</t>
        </is>
      </c>
      <c r="K23" s="17" t="inlineStr">
        <is>
          <t>Not mentioned</t>
        </is>
      </c>
      <c r="L23" s="17" t="inlineStr">
        <is>
          <t>Not cited</t>
        </is>
      </c>
      <c r="M23" s="17" t="inlineStr">
        <is>
          <t>Not mentioned</t>
        </is>
      </c>
      <c r="N23" s="17" t="inlineStr">
        <is>
          <t>Runway, Descript, InVideo</t>
        </is>
      </c>
      <c r="O23" s="17" t="inlineStr">
        <is>
          <t>2026-10-21</t>
        </is>
      </c>
      <c r="P23" s="17" t="inlineStr">
        <is>
          <t>2026-10-23</t>
        </is>
      </c>
      <c r="Q23" s="17" t="inlineStr">
        <is>
          <t>No change</t>
        </is>
      </c>
      <c r="R23" s="17" t="inlineStr">
        <is>
          <t>visibility/raw_answers/sample_raw_answers_audit.json#Q-019</t>
        </is>
      </c>
      <c r="S23" s="17" t="inlineStr">
        <is>
          <t>Medium</t>
        </is>
      </c>
      <c r="T23" s="17" t="inlineStr">
        <is>
          <t>Location verified: Hyderabad, IN</t>
        </is>
      </c>
      <c r="U23" s="18">
        <f>IF(COUNTIF(A$5:A$104, A23)=1, "UNIQUE", "DUPLICATE")</f>
        <v/>
      </c>
      <c r="V23" s="18">
        <f>IF(AND(B23&lt;&gt;"", F23&lt;&gt;""), "COMPLETE", "INCOMPLETE")</f>
        <v/>
      </c>
    </row>
    <row r="24">
      <c r="A24" s="17" t="inlineStr">
        <is>
          <t>Q-020</t>
        </is>
      </c>
      <c r="B24" s="5" t="inlineStr">
        <is>
          <t>How to train an AI model on brand footage archives for automated editing</t>
        </is>
      </c>
      <c r="C24" s="5" t="inlineStr">
        <is>
          <t>Informational</t>
        </is>
      </c>
      <c r="D24" s="5" t="inlineStr">
        <is>
          <t>Google People Also Ask</t>
        </is>
      </c>
      <c r="E24" s="5" t="inlineStr">
        <is>
          <t>https://google.com/search?q=train+ai+brand+footage+archive</t>
        </is>
      </c>
      <c r="F24" s="5" t="inlineStr">
        <is>
          <t>US</t>
        </is>
      </c>
      <c r="G24" s="17" t="inlineStr">
        <is>
          <t>&gt;10</t>
        </is>
      </c>
      <c r="H24" s="17" t="inlineStr">
        <is>
          <t>Yes (Quotes runwayml.com)</t>
        </is>
      </c>
      <c r="I24" s="17" t="inlineStr">
        <is>
          <t>https://pcmag.com/articles/ai-video-tools</t>
        </is>
      </c>
      <c r="J24" s="17" t="inlineStr">
        <is>
          <t>Not mentioned</t>
        </is>
      </c>
      <c r="K24" s="17" t="inlineStr">
        <is>
          <t>Not mentioned</t>
        </is>
      </c>
      <c r="L24" s="17" t="inlineStr">
        <is>
          <t>Not cited</t>
        </is>
      </c>
      <c r="M24" s="17" t="inlineStr">
        <is>
          <t>Not mentioned</t>
        </is>
      </c>
      <c r="N24" s="17" t="inlineStr">
        <is>
          <t>Runway, Descript, InVideo</t>
        </is>
      </c>
      <c r="O24" s="17" t="inlineStr">
        <is>
          <t>2026-10-21</t>
        </is>
      </c>
      <c r="P24" s="17" t="inlineStr">
        <is>
          <t>2026-10-23</t>
        </is>
      </c>
      <c r="Q24" s="17" t="inlineStr">
        <is>
          <t>No change</t>
        </is>
      </c>
      <c r="R24" s="17" t="inlineStr">
        <is>
          <t>visibility/raw_answers/sample_raw_answers_audit.json#Q-020</t>
        </is>
      </c>
      <c r="S24" s="17" t="inlineStr">
        <is>
          <t>Medium</t>
        </is>
      </c>
      <c r="T24" s="17" t="inlineStr">
        <is>
          <t>Location verified: San Jose, CA</t>
        </is>
      </c>
      <c r="U24" s="18">
        <f>IF(COUNTIF(A$5:A$104, A24)=1, "UNIQUE", "DUPLICATE")</f>
        <v/>
      </c>
      <c r="V24" s="18">
        <f>IF(AND(B24&lt;&gt;"", F24&lt;&gt;""), "COMPLETE", "INCOMPLETE")</f>
        <v/>
      </c>
    </row>
    <row r="25">
      <c r="A25" s="17" t="inlineStr">
        <is>
          <t>Q-021</t>
        </is>
      </c>
      <c r="B25" s="5" t="inlineStr">
        <is>
          <t>How to automatically turn long webinars into viral shorts with AI</t>
        </is>
      </c>
      <c r="C25" s="5" t="inlineStr">
        <is>
          <t>Informational</t>
        </is>
      </c>
      <c r="D25" s="5" t="inlineStr">
        <is>
          <t>Google Search Suggestions</t>
        </is>
      </c>
      <c r="E25" s="5" t="inlineStr">
        <is>
          <t>https://google.com/search?q=webinar+to+viral+shorts+ai</t>
        </is>
      </c>
      <c r="F25" s="5" t="inlineStr">
        <is>
          <t>US</t>
        </is>
      </c>
      <c r="G25" s="17" t="inlineStr">
        <is>
          <t>#3</t>
        </is>
      </c>
      <c r="H25" s="17" t="inlineStr">
        <is>
          <t>Yes (Quotes runwayml.com)</t>
        </is>
      </c>
      <c r="I25" s="17" t="inlineStr">
        <is>
          <t>https://g2.com/categories/video-editing</t>
        </is>
      </c>
      <c r="J25" s="17" t="inlineStr">
        <is>
          <t>Mentioned (Text only)</t>
        </is>
      </c>
      <c r="K25" s="17" t="inlineStr">
        <is>
          <t>Not mentioned</t>
        </is>
      </c>
      <c r="L25" s="17" t="inlineStr">
        <is>
          <t>Cited with Link</t>
        </is>
      </c>
      <c r="M25" s="17" t="inlineStr">
        <is>
          <t>Not mentioned</t>
        </is>
      </c>
      <c r="N25" s="17" t="inlineStr">
        <is>
          <t>Opus Clip, Klap, Veed</t>
        </is>
      </c>
      <c r="O25" s="17" t="inlineStr">
        <is>
          <t>2026-10-21</t>
        </is>
      </c>
      <c r="P25" s="17" t="inlineStr">
        <is>
          <t>2026-10-23</t>
        </is>
      </c>
      <c r="Q25" s="17" t="inlineStr">
        <is>
          <t>Yes (Perplexity citation added)</t>
        </is>
      </c>
      <c r="R25" s="17" t="inlineStr">
        <is>
          <t>visibility/raw_answers/sample_raw_answers_audit.json#Q-021</t>
        </is>
      </c>
      <c r="S25" s="17" t="inlineStr">
        <is>
          <t>High</t>
        </is>
      </c>
      <c r="T25" s="17" t="inlineStr">
        <is>
          <t>Location verified: New York, NY</t>
        </is>
      </c>
      <c r="U25" s="18">
        <f>IF(COUNTIF(A$5:A$104, A25)=1, "UNIQUE", "DUPLICATE")</f>
        <v/>
      </c>
      <c r="V25" s="18">
        <f>IF(AND(B25&lt;&gt;"", F25&lt;&gt;""), "COMPLETE", "INCOMPLETE")</f>
        <v/>
      </c>
    </row>
    <row r="26">
      <c r="A26" s="17" t="inlineStr">
        <is>
          <t>Q-022</t>
        </is>
      </c>
      <c r="B26" s="5" t="inlineStr">
        <is>
          <t>Best AI repurposing tool to extract viral clips from YouTube podcasts</t>
        </is>
      </c>
      <c r="C26" s="5" t="inlineStr">
        <is>
          <t>Commercial</t>
        </is>
      </c>
      <c r="D26" s="5" t="inlineStr">
        <is>
          <t>Reddit r/Podcasting</t>
        </is>
      </c>
      <c r="E26" s="5" t="inlineStr">
        <is>
          <t>https://reddit.com/r/Podcasting/comments/repurpose_tools</t>
        </is>
      </c>
      <c r="F26" s="5" t="inlineStr">
        <is>
          <t>US</t>
        </is>
      </c>
      <c r="G26" s="17" t="inlineStr">
        <is>
          <t>&gt;10</t>
        </is>
      </c>
      <c r="H26" s="17" t="inlineStr">
        <is>
          <t>No</t>
        </is>
      </c>
      <c r="I26" s="17" t="inlineStr">
        <is>
          <t>https://pcmag.com/articles/ai-video-tools</t>
        </is>
      </c>
      <c r="J26" s="17" t="inlineStr">
        <is>
          <t>Not mentioned</t>
        </is>
      </c>
      <c r="K26" s="17" t="inlineStr">
        <is>
          <t>Not mentioned</t>
        </is>
      </c>
      <c r="L26" s="17" t="inlineStr">
        <is>
          <t>Not cited</t>
        </is>
      </c>
      <c r="M26" s="17" t="inlineStr">
        <is>
          <t>Not mentioned</t>
        </is>
      </c>
      <c r="N26" s="17" t="inlineStr">
        <is>
          <t>Runway, Descript, InVideo</t>
        </is>
      </c>
      <c r="O26" s="17" t="inlineStr">
        <is>
          <t>2026-10-21</t>
        </is>
      </c>
      <c r="P26" s="17" t="inlineStr">
        <is>
          <t>2026-10-23</t>
        </is>
      </c>
      <c r="Q26" s="17" t="inlineStr">
        <is>
          <t>No change</t>
        </is>
      </c>
      <c r="R26" s="17" t="inlineStr">
        <is>
          <t>visibility/raw_answers/sample_raw_answers_audit.json#Q-022</t>
        </is>
      </c>
      <c r="S26" s="17" t="inlineStr">
        <is>
          <t>Medium</t>
        </is>
      </c>
      <c r="T26" s="17" t="inlineStr">
        <is>
          <t>Location verified: San Francisco, CA</t>
        </is>
      </c>
      <c r="U26" s="18">
        <f>IF(COUNTIF(A$5:A$104, A26)=1, "UNIQUE", "DUPLICATE")</f>
        <v/>
      </c>
      <c r="V26" s="18">
        <f>IF(AND(B26&lt;&gt;"", F26&lt;&gt;""), "COMPLETE", "INCOMPLETE")</f>
        <v/>
      </c>
    </row>
    <row r="27">
      <c r="A27" s="17" t="inlineStr">
        <is>
          <t>Q-023</t>
        </is>
      </c>
      <c r="B27" s="5" t="inlineStr">
        <is>
          <t>How to find the most engaging 30 seconds of a podcast automatically</t>
        </is>
      </c>
      <c r="C27" s="5" t="inlineStr">
        <is>
          <t>Informational</t>
        </is>
      </c>
      <c r="D27" s="5" t="inlineStr">
        <is>
          <t>Google People Also Ask</t>
        </is>
      </c>
      <c r="E27" s="5" t="inlineStr">
        <is>
          <t>https://google.com/search?q=find+engaging+podcast+clips+ai</t>
        </is>
      </c>
      <c r="F27" s="5" t="inlineStr">
        <is>
          <t>US</t>
        </is>
      </c>
      <c r="G27" s="17" t="inlineStr">
        <is>
          <t>&gt;10</t>
        </is>
      </c>
      <c r="H27" s="17" t="inlineStr">
        <is>
          <t>No</t>
        </is>
      </c>
      <c r="I27" s="17" t="inlineStr">
        <is>
          <t>https://g2.com/categories/video-editing</t>
        </is>
      </c>
      <c r="J27" s="17" t="inlineStr">
        <is>
          <t>Not mentioned</t>
        </is>
      </c>
      <c r="K27" s="17" t="inlineStr">
        <is>
          <t>Not mentioned</t>
        </is>
      </c>
      <c r="L27" s="17" t="inlineStr">
        <is>
          <t>Not cited</t>
        </is>
      </c>
      <c r="M27" s="17" t="inlineStr">
        <is>
          <t>Not mentioned</t>
        </is>
      </c>
      <c r="N27" s="17" t="inlineStr">
        <is>
          <t>Runway, Descript, InVideo</t>
        </is>
      </c>
      <c r="O27" s="17" t="inlineStr">
        <is>
          <t>2026-10-21</t>
        </is>
      </c>
      <c r="P27" s="17" t="inlineStr">
        <is>
          <t>2026-10-23</t>
        </is>
      </c>
      <c r="Q27" s="17" t="inlineStr">
        <is>
          <t>No change</t>
        </is>
      </c>
      <c r="R27" s="17" t="inlineStr">
        <is>
          <t>visibility/raw_answers/sample_raw_answers_audit.json#Q-023</t>
        </is>
      </c>
      <c r="S27" s="17" t="inlineStr">
        <is>
          <t>Medium</t>
        </is>
      </c>
      <c r="T27" s="17" t="inlineStr">
        <is>
          <t>Location verified: Austin, TX</t>
        </is>
      </c>
      <c r="U27" s="18">
        <f>IF(COUNTIF(A$5:A$104, A27)=1, "UNIQUE", "DUPLICATE")</f>
        <v/>
      </c>
      <c r="V27" s="18">
        <f>IF(AND(B27&lt;&gt;"", F27&lt;&gt;""), "COMPLETE", "INCOMPLETE")</f>
        <v/>
      </c>
    </row>
    <row r="28">
      <c r="A28" s="17" t="inlineStr">
        <is>
          <t>Q-024</t>
        </is>
      </c>
      <c r="B28" s="5" t="inlineStr">
        <is>
          <t>How to convert blog posts into short video scripts with matching b-roll</t>
        </is>
      </c>
      <c r="C28" s="5" t="inlineStr">
        <is>
          <t>Informational</t>
        </is>
      </c>
      <c r="D28" s="5" t="inlineStr">
        <is>
          <t>Quora</t>
        </is>
      </c>
      <c r="E28" s="5" t="inlineStr">
        <is>
          <t>https://quora.com/blog-to-video-script-broll</t>
        </is>
      </c>
      <c r="F28" s="5" t="inlineStr">
        <is>
          <t>UK</t>
        </is>
      </c>
      <c r="G28" s="17" t="inlineStr">
        <is>
          <t>&gt;10</t>
        </is>
      </c>
      <c r="H28" s="17" t="inlineStr">
        <is>
          <t>Yes (Quotes runwayml.com)</t>
        </is>
      </c>
      <c r="I28" s="17" t="inlineStr">
        <is>
          <t>https://pcmag.com/articles/ai-video-tools</t>
        </is>
      </c>
      <c r="J28" s="17" t="inlineStr">
        <is>
          <t>Not mentioned</t>
        </is>
      </c>
      <c r="K28" s="17" t="inlineStr">
        <is>
          <t>Not mentioned</t>
        </is>
      </c>
      <c r="L28" s="17" t="inlineStr">
        <is>
          <t>Not cited</t>
        </is>
      </c>
      <c r="M28" s="17" t="inlineStr">
        <is>
          <t>Not mentioned</t>
        </is>
      </c>
      <c r="N28" s="17" t="inlineStr">
        <is>
          <t>Opus Clip, Klap, Veed</t>
        </is>
      </c>
      <c r="O28" s="17" t="inlineStr">
        <is>
          <t>2026-10-21</t>
        </is>
      </c>
      <c r="P28" s="17" t="inlineStr">
        <is>
          <t>2026-10-23</t>
        </is>
      </c>
      <c r="Q28" s="17" t="inlineStr">
        <is>
          <t>No change</t>
        </is>
      </c>
      <c r="R28" s="17" t="inlineStr">
        <is>
          <t>visibility/raw_answers/sample_raw_answers_audit.json#Q-024</t>
        </is>
      </c>
      <c r="S28" s="17" t="inlineStr">
        <is>
          <t>Medium</t>
        </is>
      </c>
      <c r="T28" s="17" t="inlineStr">
        <is>
          <t>Location verified: London, UK</t>
        </is>
      </c>
      <c r="U28" s="18">
        <f>IF(COUNTIF(A$5:A$104, A28)=1, "UNIQUE", "DUPLICATE")</f>
        <v/>
      </c>
      <c r="V28" s="18">
        <f>IF(AND(B28&lt;&gt;"", F28&lt;&gt;""), "COMPLETE", "INCOMPLETE")</f>
        <v/>
      </c>
    </row>
    <row r="29">
      <c r="A29" s="17" t="inlineStr">
        <is>
          <t>Q-025</t>
        </is>
      </c>
      <c r="B29" s="5" t="inlineStr">
        <is>
          <t>Best workflow to repurpose 1 long YouTube video into 10 TikTok clips</t>
        </is>
      </c>
      <c r="C29" s="5" t="inlineStr">
        <is>
          <t>Commercial</t>
        </is>
      </c>
      <c r="D29" s="5" t="inlineStr">
        <is>
          <t>YouTube Creator Community</t>
        </is>
      </c>
      <c r="E29" s="5" t="inlineStr">
        <is>
          <t>https://youtube.com/watch?v=repurpose-youtube-tiktok</t>
        </is>
      </c>
      <c r="F29" s="5" t="inlineStr">
        <is>
          <t>US</t>
        </is>
      </c>
      <c r="G29" s="17" t="inlineStr">
        <is>
          <t>&gt;10</t>
        </is>
      </c>
      <c r="H29" s="17" t="inlineStr">
        <is>
          <t>No</t>
        </is>
      </c>
      <c r="I29" s="17" t="inlineStr">
        <is>
          <t>https://g2.com/categories/video-editing</t>
        </is>
      </c>
      <c r="J29" s="17" t="inlineStr">
        <is>
          <t>Not mentioned</t>
        </is>
      </c>
      <c r="K29" s="17" t="inlineStr">
        <is>
          <t>Not mentioned</t>
        </is>
      </c>
      <c r="L29" s="17" t="inlineStr">
        <is>
          <t>Not cited</t>
        </is>
      </c>
      <c r="M29" s="17" t="inlineStr">
        <is>
          <t>Not mentioned</t>
        </is>
      </c>
      <c r="N29" s="17" t="inlineStr">
        <is>
          <t>Opus Clip, Klap, Veed</t>
        </is>
      </c>
      <c r="O29" s="17" t="inlineStr">
        <is>
          <t>2026-10-21</t>
        </is>
      </c>
      <c r="P29" s="17" t="inlineStr">
        <is>
          <t>2026-10-23</t>
        </is>
      </c>
      <c r="Q29" s="17" t="inlineStr">
        <is>
          <t>No change</t>
        </is>
      </c>
      <c r="R29" s="17" t="inlineStr">
        <is>
          <t>visibility/raw_answers/sample_raw_answers_audit.json#Q-025</t>
        </is>
      </c>
      <c r="S29" s="17" t="inlineStr">
        <is>
          <t>Medium</t>
        </is>
      </c>
      <c r="T29" s="17" t="inlineStr">
        <is>
          <t>Location verified: Los Angeles, CA</t>
        </is>
      </c>
      <c r="U29" s="18">
        <f>IF(COUNTIF(A$5:A$104, A29)=1, "UNIQUE", "DUPLICATE")</f>
        <v/>
      </c>
      <c r="V29" s="18">
        <f>IF(AND(B29&lt;&gt;"", F29&lt;&gt;""), "COMPLETE", "INCOMPLETE")</f>
        <v/>
      </c>
    </row>
    <row r="30">
      <c r="A30" s="17" t="inlineStr">
        <is>
          <t>Q-026</t>
        </is>
      </c>
      <c r="B30" s="5" t="inlineStr">
        <is>
          <t>How to automatically reframe horizontal video to vertical with face tracking</t>
        </is>
      </c>
      <c r="C30" s="5" t="inlineStr">
        <is>
          <t>Informational</t>
        </is>
      </c>
      <c r="D30" s="5" t="inlineStr">
        <is>
          <t>Google Search Suggestions</t>
        </is>
      </c>
      <c r="E30" s="5" t="inlineStr">
        <is>
          <t>https://google.com/search?q=horizontal+to+vertical+auto+reframe</t>
        </is>
      </c>
      <c r="F30" s="5" t="inlineStr">
        <is>
          <t>US</t>
        </is>
      </c>
      <c r="G30" s="17" t="inlineStr">
        <is>
          <t>&gt;10</t>
        </is>
      </c>
      <c r="H30" s="17" t="inlineStr">
        <is>
          <t>No</t>
        </is>
      </c>
      <c r="I30" s="17" t="inlineStr">
        <is>
          <t>https://pcmag.com/articles/ai-video-tools</t>
        </is>
      </c>
      <c r="J30" s="17" t="inlineStr">
        <is>
          <t>Not mentioned</t>
        </is>
      </c>
      <c r="K30" s="17" t="inlineStr">
        <is>
          <t>Not mentioned</t>
        </is>
      </c>
      <c r="L30" s="17" t="inlineStr">
        <is>
          <t>Not cited</t>
        </is>
      </c>
      <c r="M30" s="17" t="inlineStr">
        <is>
          <t>Not mentioned</t>
        </is>
      </c>
      <c r="N30" s="17" t="inlineStr">
        <is>
          <t>Runway, Descript, InVideo</t>
        </is>
      </c>
      <c r="O30" s="17" t="inlineStr">
        <is>
          <t>2026-10-21</t>
        </is>
      </c>
      <c r="P30" s="17" t="inlineStr">
        <is>
          <t>2026-10-23</t>
        </is>
      </c>
      <c r="Q30" s="17" t="inlineStr">
        <is>
          <t>No change</t>
        </is>
      </c>
      <c r="R30" s="17" t="inlineStr">
        <is>
          <t>visibility/raw_answers/sample_raw_answers_audit.json#Q-026</t>
        </is>
      </c>
      <c r="S30" s="17" t="inlineStr">
        <is>
          <t>Medium</t>
        </is>
      </c>
      <c r="T30" s="17" t="inlineStr">
        <is>
          <t>Location verified: Chicago, IL</t>
        </is>
      </c>
      <c r="U30" s="18">
        <f>IF(COUNTIF(A$5:A$104, A30)=1, "UNIQUE", "DUPLICATE")</f>
        <v/>
      </c>
      <c r="V30" s="18">
        <f>IF(AND(B30&lt;&gt;"", F30&lt;&gt;""), "COMPLETE", "INCOMPLETE")</f>
        <v/>
      </c>
    </row>
    <row r="31">
      <c r="A31" s="17" t="inlineStr">
        <is>
          <t>Q-027</t>
        </is>
      </c>
      <c r="B31" s="5" t="inlineStr">
        <is>
          <t>Can AI identify key moments in gaming streams for highlight reels?</t>
        </is>
      </c>
      <c r="C31" s="5" t="inlineStr">
        <is>
          <t>Informational</t>
        </is>
      </c>
      <c r="D31" s="5" t="inlineStr">
        <is>
          <t>Reddit r/Twitch</t>
        </is>
      </c>
      <c r="E31" s="5" t="inlineStr">
        <is>
          <t>https://reddit.com/r/Twitch/comments/highlight_ai</t>
        </is>
      </c>
      <c r="F31" s="5" t="inlineStr">
        <is>
          <t>US</t>
        </is>
      </c>
      <c r="G31" s="17" t="inlineStr">
        <is>
          <t>&gt;10</t>
        </is>
      </c>
      <c r="H31" s="17" t="inlineStr">
        <is>
          <t>No</t>
        </is>
      </c>
      <c r="I31" s="17" t="inlineStr">
        <is>
          <t>https://g2.com/categories/video-editing</t>
        </is>
      </c>
      <c r="J31" s="17" t="inlineStr">
        <is>
          <t>Not mentioned</t>
        </is>
      </c>
      <c r="K31" s="17" t="inlineStr">
        <is>
          <t>Not mentioned</t>
        </is>
      </c>
      <c r="L31" s="17" t="inlineStr">
        <is>
          <t>Not cited</t>
        </is>
      </c>
      <c r="M31" s="17" t="inlineStr">
        <is>
          <t>Not mentioned</t>
        </is>
      </c>
      <c r="N31" s="17" t="inlineStr">
        <is>
          <t>Runway, Descript, InVideo</t>
        </is>
      </c>
      <c r="O31" s="17" t="inlineStr">
        <is>
          <t>2026-10-21</t>
        </is>
      </c>
      <c r="P31" s="17" t="inlineStr">
        <is>
          <t>2026-10-23</t>
        </is>
      </c>
      <c r="Q31" s="17" t="inlineStr">
        <is>
          <t>No change</t>
        </is>
      </c>
      <c r="R31" s="17" t="inlineStr">
        <is>
          <t>visibility/raw_answers/sample_raw_answers_audit.json#Q-027</t>
        </is>
      </c>
      <c r="S31" s="17" t="inlineStr">
        <is>
          <t>Medium</t>
        </is>
      </c>
      <c r="T31" s="17" t="inlineStr">
        <is>
          <t>Location verified: Seattle, WA</t>
        </is>
      </c>
      <c r="U31" s="18">
        <f>IF(COUNTIF(A$5:A$104, A31)=1, "UNIQUE", "DUPLICATE")</f>
        <v/>
      </c>
      <c r="V31" s="18">
        <f>IF(AND(B31&lt;&gt;"", F31&lt;&gt;""), "COMPLETE", "INCOMPLETE")</f>
        <v/>
      </c>
    </row>
    <row r="32">
      <c r="A32" s="17" t="inlineStr">
        <is>
          <t>Q-028</t>
        </is>
      </c>
      <c r="B32" s="5" t="inlineStr">
        <is>
          <t>How to automate captioning and clip extraction for weekly podcast episodes</t>
        </is>
      </c>
      <c r="C32" s="5" t="inlineStr">
        <is>
          <t>Informational</t>
        </is>
      </c>
      <c r="D32" s="5" t="inlineStr">
        <is>
          <t>Google People Also Ask</t>
        </is>
      </c>
      <c r="E32" s="5" t="inlineStr">
        <is>
          <t>https://google.com/search?q=automate+podcast+clipping</t>
        </is>
      </c>
      <c r="F32" s="5" t="inlineStr">
        <is>
          <t>UK</t>
        </is>
      </c>
      <c r="G32" s="17" t="inlineStr">
        <is>
          <t>&gt;10</t>
        </is>
      </c>
      <c r="H32" s="17" t="inlineStr">
        <is>
          <t>Yes (Quotes runwayml.com)</t>
        </is>
      </c>
      <c r="I32" s="17" t="inlineStr">
        <is>
          <t>https://pcmag.com/articles/ai-video-tools</t>
        </is>
      </c>
      <c r="J32" s="17" t="inlineStr">
        <is>
          <t>Not mentioned</t>
        </is>
      </c>
      <c r="K32" s="17" t="inlineStr">
        <is>
          <t>Not mentioned</t>
        </is>
      </c>
      <c r="L32" s="17" t="inlineStr">
        <is>
          <t>Not cited</t>
        </is>
      </c>
      <c r="M32" s="17" t="inlineStr">
        <is>
          <t>Not mentioned</t>
        </is>
      </c>
      <c r="N32" s="17" t="inlineStr">
        <is>
          <t>Runway, Descript, InVideo</t>
        </is>
      </c>
      <c r="O32" s="17" t="inlineStr">
        <is>
          <t>2026-10-21</t>
        </is>
      </c>
      <c r="P32" s="17" t="inlineStr">
        <is>
          <t>2026-10-23</t>
        </is>
      </c>
      <c r="Q32" s="17" t="inlineStr">
        <is>
          <t>No change</t>
        </is>
      </c>
      <c r="R32" s="17" t="inlineStr">
        <is>
          <t>visibility/raw_answers/sample_raw_answers_audit.json#Q-028</t>
        </is>
      </c>
      <c r="S32" s="17" t="inlineStr">
        <is>
          <t>Medium</t>
        </is>
      </c>
      <c r="T32" s="17" t="inlineStr">
        <is>
          <t>Location verified: Edinburgh, UK</t>
        </is>
      </c>
      <c r="U32" s="18">
        <f>IF(COUNTIF(A$5:A$104, A32)=1, "UNIQUE", "DUPLICATE")</f>
        <v/>
      </c>
      <c r="V32" s="18">
        <f>IF(AND(B32&lt;&gt;"", F32&lt;&gt;""), "COMPLETE", "INCOMPLETE")</f>
        <v/>
      </c>
    </row>
    <row r="33">
      <c r="A33" s="17" t="inlineStr">
        <is>
          <t>Q-029</t>
        </is>
      </c>
      <c r="B33" s="5" t="inlineStr">
        <is>
          <t>Free tools to convert audio interviews into animated audiograms with b-roll</t>
        </is>
      </c>
      <c r="C33" s="5" t="inlineStr">
        <is>
          <t>Commercial</t>
        </is>
      </c>
      <c r="D33" s="5" t="inlineStr">
        <is>
          <t>Google Search Suggestions</t>
        </is>
      </c>
      <c r="E33" s="5" t="inlineStr">
        <is>
          <t>https://google.com/search?q=free+audiogram+broll+tools</t>
        </is>
      </c>
      <c r="F33" s="5" t="inlineStr">
        <is>
          <t>IN</t>
        </is>
      </c>
      <c r="G33" s="17" t="inlineStr">
        <is>
          <t>&gt;10</t>
        </is>
      </c>
      <c r="H33" s="17" t="inlineStr">
        <is>
          <t>No</t>
        </is>
      </c>
      <c r="I33" s="17" t="inlineStr">
        <is>
          <t>https://g2.com/categories/video-editing</t>
        </is>
      </c>
      <c r="J33" s="17" t="inlineStr">
        <is>
          <t>Not mentioned</t>
        </is>
      </c>
      <c r="K33" s="17" t="inlineStr">
        <is>
          <t>Not mentioned</t>
        </is>
      </c>
      <c r="L33" s="17" t="inlineStr">
        <is>
          <t>Not cited</t>
        </is>
      </c>
      <c r="M33" s="17" t="inlineStr">
        <is>
          <t>Not mentioned</t>
        </is>
      </c>
      <c r="N33" s="17" t="inlineStr">
        <is>
          <t>Runway, Descript, InVideo</t>
        </is>
      </c>
      <c r="O33" s="17" t="inlineStr">
        <is>
          <t>2026-10-21</t>
        </is>
      </c>
      <c r="P33" s="17" t="inlineStr">
        <is>
          <t>2026-10-23</t>
        </is>
      </c>
      <c r="Q33" s="17" t="inlineStr">
        <is>
          <t>No change</t>
        </is>
      </c>
      <c r="R33" s="17" t="inlineStr">
        <is>
          <t>visibility/raw_answers/sample_raw_answers_audit.json#Q-029</t>
        </is>
      </c>
      <c r="S33" s="17" t="inlineStr">
        <is>
          <t>Medium</t>
        </is>
      </c>
      <c r="T33" s="17" t="inlineStr">
        <is>
          <t>Location verified: Bengaluru, IN</t>
        </is>
      </c>
      <c r="U33" s="18">
        <f>IF(COUNTIF(A$5:A$104, A33)=1, "UNIQUE", "DUPLICATE")</f>
        <v/>
      </c>
      <c r="V33" s="18">
        <f>IF(AND(B33&lt;&gt;"", F33&lt;&gt;""), "COMPLETE", "INCOMPLETE")</f>
        <v/>
      </c>
    </row>
    <row r="34">
      <c r="A34" s="17" t="inlineStr">
        <is>
          <t>Q-030</t>
        </is>
      </c>
      <c r="B34" s="5" t="inlineStr">
        <is>
          <t>How to repurpose client testimonials into social video ads with AI</t>
        </is>
      </c>
      <c r="C34" s="5" t="inlineStr">
        <is>
          <t>Informational</t>
        </is>
      </c>
      <c r="D34" s="5" t="inlineStr">
        <is>
          <t>Google Search Suggestions</t>
        </is>
      </c>
      <c r="E34" s="5" t="inlineStr">
        <is>
          <t>https://google.com/search?q=repurpose+testimonials+social+ads</t>
        </is>
      </c>
      <c r="F34" s="5" t="inlineStr">
        <is>
          <t>US</t>
        </is>
      </c>
      <c r="G34" s="17" t="inlineStr">
        <is>
          <t>&gt;10</t>
        </is>
      </c>
      <c r="H34" s="17" t="inlineStr">
        <is>
          <t>No</t>
        </is>
      </c>
      <c r="I34" s="17" t="inlineStr">
        <is>
          <t>https://pcmag.com/articles/ai-video-tools</t>
        </is>
      </c>
      <c r="J34" s="17" t="inlineStr">
        <is>
          <t>Not mentioned</t>
        </is>
      </c>
      <c r="K34" s="17" t="inlineStr">
        <is>
          <t>Not mentioned</t>
        </is>
      </c>
      <c r="L34" s="17" t="inlineStr">
        <is>
          <t>Not cited</t>
        </is>
      </c>
      <c r="M34" s="17" t="inlineStr">
        <is>
          <t>Not mentioned</t>
        </is>
      </c>
      <c r="N34" s="17" t="inlineStr">
        <is>
          <t>Opus Clip, Klap, Veed</t>
        </is>
      </c>
      <c r="O34" s="17" t="inlineStr">
        <is>
          <t>2026-10-21</t>
        </is>
      </c>
      <c r="P34" s="17" t="inlineStr">
        <is>
          <t>2026-10-23</t>
        </is>
      </c>
      <c r="Q34" s="17" t="inlineStr">
        <is>
          <t>No change</t>
        </is>
      </c>
      <c r="R34" s="17" t="inlineStr">
        <is>
          <t>visibility/raw_answers/sample_raw_answers_audit.json#Q-030</t>
        </is>
      </c>
      <c r="S34" s="17" t="inlineStr">
        <is>
          <t>Medium</t>
        </is>
      </c>
      <c r="T34" s="17" t="inlineStr">
        <is>
          <t>Location verified: Miami, FL</t>
        </is>
      </c>
      <c r="U34" s="18">
        <f>IF(COUNTIF(A$5:A$104, A34)=1, "UNIQUE", "DUPLICATE")</f>
        <v/>
      </c>
      <c r="V34" s="18">
        <f>IF(AND(B34&lt;&gt;"", F34&lt;&gt;""), "COMPLETE", "INCOMPLETE")</f>
        <v/>
      </c>
    </row>
    <row r="35">
      <c r="A35" s="17" t="inlineStr">
        <is>
          <t>Q-031</t>
        </is>
      </c>
      <c r="B35" s="5" t="inlineStr">
        <is>
          <t>Best AI tools for automated YouTube Shorts creation in 2026</t>
        </is>
      </c>
      <c r="C35" s="5" t="inlineStr">
        <is>
          <t>Commercial</t>
        </is>
      </c>
      <c r="D35" s="5" t="inlineStr">
        <is>
          <t>YouTube Creator Community</t>
        </is>
      </c>
      <c r="E35" s="5" t="inlineStr">
        <is>
          <t>https://youtube.com/watch?v=automated-shorts-2026</t>
        </is>
      </c>
      <c r="F35" s="5" t="inlineStr">
        <is>
          <t>IN</t>
        </is>
      </c>
      <c r="G35" s="17" t="inlineStr">
        <is>
          <t>&gt;10</t>
        </is>
      </c>
      <c r="H35" s="17" t="inlineStr">
        <is>
          <t>No</t>
        </is>
      </c>
      <c r="I35" s="17" t="inlineStr">
        <is>
          <t>https://g2.com/categories/video-editing</t>
        </is>
      </c>
      <c r="J35" s="17" t="inlineStr">
        <is>
          <t>Not mentioned</t>
        </is>
      </c>
      <c r="K35" s="17" t="inlineStr">
        <is>
          <t>Not mentioned</t>
        </is>
      </c>
      <c r="L35" s="17" t="inlineStr">
        <is>
          <t>Not cited</t>
        </is>
      </c>
      <c r="M35" s="17" t="inlineStr">
        <is>
          <t>Not mentioned</t>
        </is>
      </c>
      <c r="N35" s="17" t="inlineStr">
        <is>
          <t>Opus Clip, Klap, Veed</t>
        </is>
      </c>
      <c r="O35" s="17" t="inlineStr">
        <is>
          <t>2026-10-21</t>
        </is>
      </c>
      <c r="P35" s="17" t="inlineStr">
        <is>
          <t>2026-10-23</t>
        </is>
      </c>
      <c r="Q35" s="17" t="inlineStr">
        <is>
          <t>No change</t>
        </is>
      </c>
      <c r="R35" s="17" t="inlineStr">
        <is>
          <t>visibility/raw_answers/sample_raw_answers_audit.json#Q-031</t>
        </is>
      </c>
      <c r="S35" s="17" t="inlineStr">
        <is>
          <t>Medium</t>
        </is>
      </c>
      <c r="T35" s="17" t="inlineStr">
        <is>
          <t>Location verified: Mumbai, IN</t>
        </is>
      </c>
      <c r="U35" s="18">
        <f>IF(COUNTIF(A$5:A$104, A35)=1, "UNIQUE", "DUPLICATE")</f>
        <v/>
      </c>
      <c r="V35" s="18">
        <f>IF(AND(B35&lt;&gt;"", F35&lt;&gt;""), "COMPLETE", "INCOMPLETE")</f>
        <v/>
      </c>
    </row>
    <row r="36">
      <c r="A36" s="17" t="inlineStr">
        <is>
          <t>Q-032</t>
        </is>
      </c>
      <c r="B36" s="5" t="inlineStr">
        <is>
          <t>How to generate short video teasers from long conference keynotes</t>
        </is>
      </c>
      <c r="C36" s="5" t="inlineStr">
        <is>
          <t>Informational</t>
        </is>
      </c>
      <c r="D36" s="5" t="inlineStr">
        <is>
          <t>Quora</t>
        </is>
      </c>
      <c r="E36" s="5" t="inlineStr">
        <is>
          <t>https://quora.com/conference-keynote-teasers-ai</t>
        </is>
      </c>
      <c r="F36" s="5" t="inlineStr">
        <is>
          <t>US</t>
        </is>
      </c>
      <c r="G36" s="17" t="inlineStr">
        <is>
          <t>&gt;10</t>
        </is>
      </c>
      <c r="H36" s="17" t="inlineStr">
        <is>
          <t>Yes (Quotes runwayml.com)</t>
        </is>
      </c>
      <c r="I36" s="17" t="inlineStr">
        <is>
          <t>https://pcmag.com/articles/ai-video-tools</t>
        </is>
      </c>
      <c r="J36" s="17" t="inlineStr">
        <is>
          <t>Not mentioned</t>
        </is>
      </c>
      <c r="K36" s="17" t="inlineStr">
        <is>
          <t>Not mentioned</t>
        </is>
      </c>
      <c r="L36" s="17" t="inlineStr">
        <is>
          <t>Not cited</t>
        </is>
      </c>
      <c r="M36" s="17" t="inlineStr">
        <is>
          <t>Not mentioned</t>
        </is>
      </c>
      <c r="N36" s="17" t="inlineStr">
        <is>
          <t>Opus Clip, Klap, Veed</t>
        </is>
      </c>
      <c r="O36" s="17" t="inlineStr">
        <is>
          <t>2026-10-21</t>
        </is>
      </c>
      <c r="P36" s="17" t="inlineStr">
        <is>
          <t>2026-10-23</t>
        </is>
      </c>
      <c r="Q36" s="17" t="inlineStr">
        <is>
          <t>No change</t>
        </is>
      </c>
      <c r="R36" s="17" t="inlineStr">
        <is>
          <t>visibility/raw_answers/sample_raw_answers_audit.json#Q-032</t>
        </is>
      </c>
      <c r="S36" s="17" t="inlineStr">
        <is>
          <t>Medium</t>
        </is>
      </c>
      <c r="T36" s="17" t="inlineStr">
        <is>
          <t>Location verified: Boston, MA</t>
        </is>
      </c>
      <c r="U36" s="18">
        <f>IF(COUNTIF(A$5:A$104, A36)=1, "UNIQUE", "DUPLICATE")</f>
        <v/>
      </c>
      <c r="V36" s="18">
        <f>IF(AND(B36&lt;&gt;"", F36&lt;&gt;""), "COMPLETE", "INCOMPLETE")</f>
        <v/>
      </c>
    </row>
    <row r="37">
      <c r="A37" s="17" t="inlineStr">
        <is>
          <t>Q-033</t>
        </is>
      </c>
      <c r="B37" s="5" t="inlineStr">
        <is>
          <t>How do content agencies batch create 50 shorts per week using AI?</t>
        </is>
      </c>
      <c r="C37" s="5" t="inlineStr">
        <is>
          <t>Informational</t>
        </is>
      </c>
      <c r="D37" s="5" t="inlineStr">
        <is>
          <t>Reddit r/Entrepreneur</t>
        </is>
      </c>
      <c r="E37" s="5" t="inlineStr">
        <is>
          <t>https://reddit.com/r/Entrepreneur/comments/batch_shorts</t>
        </is>
      </c>
      <c r="F37" s="5" t="inlineStr">
        <is>
          <t>US</t>
        </is>
      </c>
      <c r="G37" s="17" t="inlineStr">
        <is>
          <t>&gt;10</t>
        </is>
      </c>
      <c r="H37" s="17" t="inlineStr">
        <is>
          <t>No</t>
        </is>
      </c>
      <c r="I37" s="17" t="inlineStr">
        <is>
          <t>https://g2.com/categories/video-editing</t>
        </is>
      </c>
      <c r="J37" s="17" t="inlineStr">
        <is>
          <t>Not mentioned</t>
        </is>
      </c>
      <c r="K37" s="17" t="inlineStr">
        <is>
          <t>Not mentioned</t>
        </is>
      </c>
      <c r="L37" s="17" t="inlineStr">
        <is>
          <t>Not cited</t>
        </is>
      </c>
      <c r="M37" s="17" t="inlineStr">
        <is>
          <t>Not mentioned</t>
        </is>
      </c>
      <c r="N37" s="17" t="inlineStr">
        <is>
          <t>Opus Clip, Klap, Veed</t>
        </is>
      </c>
      <c r="O37" s="17" t="inlineStr">
        <is>
          <t>2026-10-21</t>
        </is>
      </c>
      <c r="P37" s="17" t="inlineStr">
        <is>
          <t>2026-10-23</t>
        </is>
      </c>
      <c r="Q37" s="17" t="inlineStr">
        <is>
          <t>No change</t>
        </is>
      </c>
      <c r="R37" s="17" t="inlineStr">
        <is>
          <t>visibility/raw_answers/sample_raw_answers_audit.json#Q-033</t>
        </is>
      </c>
      <c r="S37" s="17" t="inlineStr">
        <is>
          <t>Medium</t>
        </is>
      </c>
      <c r="T37" s="17" t="inlineStr">
        <is>
          <t>Location verified: Dallas, TX</t>
        </is>
      </c>
      <c r="U37" s="18">
        <f>IF(COUNTIF(A$5:A$104, A37)=1, "UNIQUE", "DUPLICATE")</f>
        <v/>
      </c>
      <c r="V37" s="18">
        <f>IF(AND(B37&lt;&gt;"", F37&lt;&gt;""), "COMPLETE", "INCOMPLETE")</f>
        <v/>
      </c>
    </row>
    <row r="38">
      <c r="A38" s="17" t="inlineStr">
        <is>
          <t>Q-034</t>
        </is>
      </c>
      <c r="B38" s="5" t="inlineStr">
        <is>
          <t>Can you automate YouTube chapter markers and clip extraction from transcripts?</t>
        </is>
      </c>
      <c r="C38" s="5" t="inlineStr">
        <is>
          <t>Informational</t>
        </is>
      </c>
      <c r="D38" s="5" t="inlineStr">
        <is>
          <t>Google People Also Ask</t>
        </is>
      </c>
      <c r="E38" s="5" t="inlineStr">
        <is>
          <t>https://google.com/search?q=automate+youtube+chapters</t>
        </is>
      </c>
      <c r="F38" s="5" t="inlineStr">
        <is>
          <t>UK</t>
        </is>
      </c>
      <c r="G38" s="17" t="inlineStr">
        <is>
          <t>&gt;10</t>
        </is>
      </c>
      <c r="H38" s="17" t="inlineStr">
        <is>
          <t>No</t>
        </is>
      </c>
      <c r="I38" s="17" t="inlineStr">
        <is>
          <t>https://pcmag.com/articles/ai-video-tools</t>
        </is>
      </c>
      <c r="J38" s="17" t="inlineStr">
        <is>
          <t>Not mentioned</t>
        </is>
      </c>
      <c r="K38" s="17" t="inlineStr">
        <is>
          <t>Not mentioned</t>
        </is>
      </c>
      <c r="L38" s="17" t="inlineStr">
        <is>
          <t>Not cited</t>
        </is>
      </c>
      <c r="M38" s="17" t="inlineStr">
        <is>
          <t>Not mentioned</t>
        </is>
      </c>
      <c r="N38" s="17" t="inlineStr">
        <is>
          <t>Descript, CapCut, Podcastle</t>
        </is>
      </c>
      <c r="O38" s="17" t="inlineStr">
        <is>
          <t>2026-10-21</t>
        </is>
      </c>
      <c r="P38" s="17" t="inlineStr">
        <is>
          <t>2026-10-23</t>
        </is>
      </c>
      <c r="Q38" s="17" t="inlineStr">
        <is>
          <t>No change</t>
        </is>
      </c>
      <c r="R38" s="17" t="inlineStr">
        <is>
          <t>visibility/raw_answers/sample_raw_answers_audit.json#Q-034</t>
        </is>
      </c>
      <c r="S38" s="17" t="inlineStr">
        <is>
          <t>Medium</t>
        </is>
      </c>
      <c r="T38" s="17" t="inlineStr">
        <is>
          <t>Location verified: Manchester, UK</t>
        </is>
      </c>
      <c r="U38" s="18">
        <f>IF(COUNTIF(A$5:A$104, A38)=1, "UNIQUE", "DUPLICATE")</f>
        <v/>
      </c>
      <c r="V38" s="18">
        <f>IF(AND(B38&lt;&gt;"", F38&lt;&gt;""), "COMPLETE", "INCOMPLETE")</f>
        <v/>
      </c>
    </row>
    <row r="39">
      <c r="A39" s="17" t="inlineStr">
        <is>
          <t>Q-035</t>
        </is>
      </c>
      <c r="B39" s="5" t="inlineStr">
        <is>
          <t>Best tool to turn Zoom sales calls into bite-sized training clips</t>
        </is>
      </c>
      <c r="C39" s="5" t="inlineStr">
        <is>
          <t>Commercial</t>
        </is>
      </c>
      <c r="D39" s="5" t="inlineStr">
        <is>
          <t>Google Search Suggestions</t>
        </is>
      </c>
      <c r="E39" s="5" t="inlineStr">
        <is>
          <t>https://google.com/search?q=zoom+calls+training+clips+ai</t>
        </is>
      </c>
      <c r="F39" s="5" t="inlineStr">
        <is>
          <t>US</t>
        </is>
      </c>
      <c r="G39" s="17" t="inlineStr">
        <is>
          <t>&gt;10</t>
        </is>
      </c>
      <c r="H39" s="17" t="inlineStr">
        <is>
          <t>No</t>
        </is>
      </c>
      <c r="I39" s="17" t="inlineStr">
        <is>
          <t>https://g2.com/categories/video-editing</t>
        </is>
      </c>
      <c r="J39" s="17" t="inlineStr">
        <is>
          <t>Not mentioned</t>
        </is>
      </c>
      <c r="K39" s="17" t="inlineStr">
        <is>
          <t>Not mentioned</t>
        </is>
      </c>
      <c r="L39" s="17" t="inlineStr">
        <is>
          <t>Not cited</t>
        </is>
      </c>
      <c r="M39" s="17" t="inlineStr">
        <is>
          <t>Not mentioned</t>
        </is>
      </c>
      <c r="N39" s="17" t="inlineStr">
        <is>
          <t>Runway, Descript, InVideo</t>
        </is>
      </c>
      <c r="O39" s="17" t="inlineStr">
        <is>
          <t>2026-10-21</t>
        </is>
      </c>
      <c r="P39" s="17" t="inlineStr">
        <is>
          <t>2026-10-23</t>
        </is>
      </c>
      <c r="Q39" s="17" t="inlineStr">
        <is>
          <t>No change</t>
        </is>
      </c>
      <c r="R39" s="17" t="inlineStr">
        <is>
          <t>visibility/raw_answers/sample_raw_answers_audit.json#Q-035</t>
        </is>
      </c>
      <c r="S39" s="17" t="inlineStr">
        <is>
          <t>Medium</t>
        </is>
      </c>
      <c r="T39" s="17" t="inlineStr">
        <is>
          <t>Location verified: Atlanta, GA</t>
        </is>
      </c>
      <c r="U39" s="18">
        <f>IF(COUNTIF(A$5:A$104, A39)=1, "UNIQUE", "DUPLICATE")</f>
        <v/>
      </c>
      <c r="V39" s="18">
        <f>IF(AND(B39&lt;&gt;"", F39&lt;&gt;""), "COMPLETE", "INCOMPLETE")</f>
        <v/>
      </c>
    </row>
    <row r="40">
      <c r="A40" s="17" t="inlineStr">
        <is>
          <t>Q-036</t>
        </is>
      </c>
      <c r="B40" s="5" t="inlineStr">
        <is>
          <t>How to remove pauses, filler words, and silence automatically from video</t>
        </is>
      </c>
      <c r="C40" s="5" t="inlineStr">
        <is>
          <t>Informational</t>
        </is>
      </c>
      <c r="D40" s="5" t="inlineStr">
        <is>
          <t>Google Search Suggestions</t>
        </is>
      </c>
      <c r="E40" s="5" t="inlineStr">
        <is>
          <t>https://google.com/search?q=remove+filler+words+video+ai</t>
        </is>
      </c>
      <c r="F40" s="5" t="inlineStr">
        <is>
          <t>US</t>
        </is>
      </c>
      <c r="G40" s="17" t="inlineStr">
        <is>
          <t>&gt;10</t>
        </is>
      </c>
      <c r="H40" s="17" t="inlineStr">
        <is>
          <t>Yes (Quotes runwayml.com)</t>
        </is>
      </c>
      <c r="I40" s="17" t="inlineStr">
        <is>
          <t>https://pcmag.com/articles/ai-video-tools</t>
        </is>
      </c>
      <c r="J40" s="17" t="inlineStr">
        <is>
          <t>Not mentioned</t>
        </is>
      </c>
      <c r="K40" s="17" t="inlineStr">
        <is>
          <t>Not mentioned</t>
        </is>
      </c>
      <c r="L40" s="17" t="inlineStr">
        <is>
          <t>Not cited</t>
        </is>
      </c>
      <c r="M40" s="17" t="inlineStr">
        <is>
          <t>Not mentioned</t>
        </is>
      </c>
      <c r="N40" s="17" t="inlineStr">
        <is>
          <t>Runway, Descript, InVideo</t>
        </is>
      </c>
      <c r="O40" s="17" t="inlineStr">
        <is>
          <t>2026-10-21</t>
        </is>
      </c>
      <c r="P40" s="17" t="inlineStr">
        <is>
          <t>2026-10-23</t>
        </is>
      </c>
      <c r="Q40" s="17" t="inlineStr">
        <is>
          <t>No change</t>
        </is>
      </c>
      <c r="R40" s="17" t="inlineStr">
        <is>
          <t>visibility/raw_answers/sample_raw_answers_audit.json#Q-036</t>
        </is>
      </c>
      <c r="S40" s="17" t="inlineStr">
        <is>
          <t>Medium</t>
        </is>
      </c>
      <c r="T40" s="17" t="inlineStr">
        <is>
          <t>Location verified: New York, NY</t>
        </is>
      </c>
      <c r="U40" s="18">
        <f>IF(COUNTIF(A$5:A$104, A40)=1, "UNIQUE", "DUPLICATE")</f>
        <v/>
      </c>
      <c r="V40" s="18">
        <f>IF(AND(B40&lt;&gt;"", F40&lt;&gt;""), "COMPLETE", "INCOMPLETE")</f>
        <v/>
      </c>
    </row>
    <row r="41">
      <c r="A41" s="17" t="inlineStr">
        <is>
          <t>Q-037</t>
        </is>
      </c>
      <c r="B41" s="5" t="inlineStr">
        <is>
          <t>Best text-based video editors that let you edit video by editing transcripts</t>
        </is>
      </c>
      <c r="C41" s="5" t="inlineStr">
        <is>
          <t>Commercial</t>
        </is>
      </c>
      <c r="D41" s="5" t="inlineStr">
        <is>
          <t>Reddit r/VideoEditing</t>
        </is>
      </c>
      <c r="E41" s="5" t="inlineStr">
        <is>
          <t>https://reddit.com/r/VideoEditing/comments/text_based_editing</t>
        </is>
      </c>
      <c r="F41" s="5" t="inlineStr">
        <is>
          <t>US</t>
        </is>
      </c>
      <c r="G41" s="17" t="inlineStr">
        <is>
          <t>&gt;10</t>
        </is>
      </c>
      <c r="H41" s="17" t="inlineStr">
        <is>
          <t>No</t>
        </is>
      </c>
      <c r="I41" s="17" t="inlineStr">
        <is>
          <t>https://g2.com/categories/video-editing</t>
        </is>
      </c>
      <c r="J41" s="17" t="inlineStr">
        <is>
          <t>Not mentioned</t>
        </is>
      </c>
      <c r="K41" s="17" t="inlineStr">
        <is>
          <t>Not mentioned</t>
        </is>
      </c>
      <c r="L41" s="17" t="inlineStr">
        <is>
          <t>Not cited</t>
        </is>
      </c>
      <c r="M41" s="17" t="inlineStr">
        <is>
          <t>Not mentioned</t>
        </is>
      </c>
      <c r="N41" s="17" t="inlineStr">
        <is>
          <t>Descript, CapCut, Podcastle</t>
        </is>
      </c>
      <c r="O41" s="17" t="inlineStr">
        <is>
          <t>2026-10-21</t>
        </is>
      </c>
      <c r="P41" s="17" t="inlineStr">
        <is>
          <t>2026-10-23</t>
        </is>
      </c>
      <c r="Q41" s="17" t="inlineStr">
        <is>
          <t>No change</t>
        </is>
      </c>
      <c r="R41" s="17" t="inlineStr">
        <is>
          <t>visibility/raw_answers/sample_raw_answers_audit.json#Q-037</t>
        </is>
      </c>
      <c r="S41" s="17" t="inlineStr">
        <is>
          <t>Medium</t>
        </is>
      </c>
      <c r="T41" s="17" t="inlineStr">
        <is>
          <t>Location verified: San Francisco, CA</t>
        </is>
      </c>
      <c r="U41" s="18">
        <f>IF(COUNTIF(A$5:A$104, A41)=1, "UNIQUE", "DUPLICATE")</f>
        <v/>
      </c>
      <c r="V41" s="18">
        <f>IF(AND(B41&lt;&gt;"", F41&lt;&gt;""), "COMPLETE", "INCOMPLETE")</f>
        <v/>
      </c>
    </row>
    <row r="42">
      <c r="A42" s="17" t="inlineStr">
        <is>
          <t>Q-038</t>
        </is>
      </c>
      <c r="B42" s="5" t="inlineStr">
        <is>
          <t>How does automated J-cut and L-cut audio transition work in AI editors?</t>
        </is>
      </c>
      <c r="C42" s="5" t="inlineStr">
        <is>
          <t>Informational</t>
        </is>
      </c>
      <c r="D42" s="5" t="inlineStr">
        <is>
          <t>Google People Also Ask</t>
        </is>
      </c>
      <c r="E42" s="5" t="inlineStr">
        <is>
          <t>https://google.com/search?q=ai+jcut+lcut+audio</t>
        </is>
      </c>
      <c r="F42" s="5" t="inlineStr">
        <is>
          <t>US</t>
        </is>
      </c>
      <c r="G42" s="17" t="inlineStr">
        <is>
          <t>&gt;10</t>
        </is>
      </c>
      <c r="H42" s="17" t="inlineStr">
        <is>
          <t>No</t>
        </is>
      </c>
      <c r="I42" s="17" t="inlineStr">
        <is>
          <t>https://pcmag.com/articles/ai-video-tools</t>
        </is>
      </c>
      <c r="J42" s="17" t="inlineStr">
        <is>
          <t>Not mentioned</t>
        </is>
      </c>
      <c r="K42" s="17" t="inlineStr">
        <is>
          <t>Not mentioned</t>
        </is>
      </c>
      <c r="L42" s="17" t="inlineStr">
        <is>
          <t>Not cited</t>
        </is>
      </c>
      <c r="M42" s="17" t="inlineStr">
        <is>
          <t>Not mentioned</t>
        </is>
      </c>
      <c r="N42" s="17" t="inlineStr">
        <is>
          <t>Runway, Descript, InVideo</t>
        </is>
      </c>
      <c r="O42" s="17" t="inlineStr">
        <is>
          <t>2026-10-21</t>
        </is>
      </c>
      <c r="P42" s="17" t="inlineStr">
        <is>
          <t>2026-10-23</t>
        </is>
      </c>
      <c r="Q42" s="17" t="inlineStr">
        <is>
          <t>No change</t>
        </is>
      </c>
      <c r="R42" s="17" t="inlineStr">
        <is>
          <t>visibility/raw_answers/sample_raw_answers_audit.json#Q-038</t>
        </is>
      </c>
      <c r="S42" s="17" t="inlineStr">
        <is>
          <t>Medium</t>
        </is>
      </c>
      <c r="T42" s="17" t="inlineStr">
        <is>
          <t>Location verified: Los Angeles, CA</t>
        </is>
      </c>
      <c r="U42" s="18">
        <f>IF(COUNTIF(A$5:A$104, A42)=1, "UNIQUE", "DUPLICATE")</f>
        <v/>
      </c>
      <c r="V42" s="18">
        <f>IF(AND(B42&lt;&gt;"", F42&lt;&gt;""), "COMPLETE", "INCOMPLETE")</f>
        <v/>
      </c>
    </row>
    <row r="43">
      <c r="A43" s="17" t="inlineStr">
        <is>
          <t>Q-039</t>
        </is>
      </c>
      <c r="B43" s="5" t="inlineStr">
        <is>
          <t>How to automatically balance voiceover levels and background music in video</t>
        </is>
      </c>
      <c r="C43" s="5" t="inlineStr">
        <is>
          <t>Informational</t>
        </is>
      </c>
      <c r="D43" s="5" t="inlineStr">
        <is>
          <t>Quora</t>
        </is>
      </c>
      <c r="E43" s="5" t="inlineStr">
        <is>
          <t>https://quora.com/auto-ducking-voiceover-music</t>
        </is>
      </c>
      <c r="F43" s="5" t="inlineStr">
        <is>
          <t>UK</t>
        </is>
      </c>
      <c r="G43" s="17" t="inlineStr">
        <is>
          <t>&gt;10</t>
        </is>
      </c>
      <c r="H43" s="17" t="inlineStr">
        <is>
          <t>No</t>
        </is>
      </c>
      <c r="I43" s="17" t="inlineStr">
        <is>
          <t>https://g2.com/categories/video-editing</t>
        </is>
      </c>
      <c r="J43" s="17" t="inlineStr">
        <is>
          <t>Not mentioned</t>
        </is>
      </c>
      <c r="K43" s="17" t="inlineStr">
        <is>
          <t>Not mentioned</t>
        </is>
      </c>
      <c r="L43" s="17" t="inlineStr">
        <is>
          <t>Not cited</t>
        </is>
      </c>
      <c r="M43" s="17" t="inlineStr">
        <is>
          <t>Not mentioned</t>
        </is>
      </c>
      <c r="N43" s="17" t="inlineStr">
        <is>
          <t>Runway, Descript, InVideo</t>
        </is>
      </c>
      <c r="O43" s="17" t="inlineStr">
        <is>
          <t>2026-10-21</t>
        </is>
      </c>
      <c r="P43" s="17" t="inlineStr">
        <is>
          <t>2026-10-23</t>
        </is>
      </c>
      <c r="Q43" s="17" t="inlineStr">
        <is>
          <t>No change</t>
        </is>
      </c>
      <c r="R43" s="17" t="inlineStr">
        <is>
          <t>visibility/raw_answers/sample_raw_answers_audit.json#Q-039</t>
        </is>
      </c>
      <c r="S43" s="17" t="inlineStr">
        <is>
          <t>Medium</t>
        </is>
      </c>
      <c r="T43" s="17" t="inlineStr">
        <is>
          <t>Location verified: London, UK</t>
        </is>
      </c>
      <c r="U43" s="18">
        <f>IF(COUNTIF(A$5:A$104, A43)=1, "UNIQUE", "DUPLICATE")</f>
        <v/>
      </c>
      <c r="V43" s="18">
        <f>IF(AND(B43&lt;&gt;"", F43&lt;&gt;""), "COMPLETE", "INCOMPLETE")</f>
        <v/>
      </c>
    </row>
    <row r="44">
      <c r="A44" s="17" t="inlineStr">
        <is>
          <t>Q-040</t>
        </is>
      </c>
      <c r="B44" s="5" t="inlineStr">
        <is>
          <t>Best AI video tool for color grading and auto-correcting creator footage</t>
        </is>
      </c>
      <c r="C44" s="5" t="inlineStr">
        <is>
          <t>Commercial</t>
        </is>
      </c>
      <c r="D44" s="5" t="inlineStr">
        <is>
          <t>Google Search Suggestions</t>
        </is>
      </c>
      <c r="E44" s="5" t="inlineStr">
        <is>
          <t>https://google.com/search?q=ai+color+grading+creator</t>
        </is>
      </c>
      <c r="F44" s="5" t="inlineStr">
        <is>
          <t>US</t>
        </is>
      </c>
      <c r="G44" s="17" t="inlineStr">
        <is>
          <t>&gt;10</t>
        </is>
      </c>
      <c r="H44" s="17" t="inlineStr">
        <is>
          <t>Yes (Quotes runwayml.com)</t>
        </is>
      </c>
      <c r="I44" s="17" t="inlineStr">
        <is>
          <t>https://pcmag.com/articles/ai-video-tools</t>
        </is>
      </c>
      <c r="J44" s="17" t="inlineStr">
        <is>
          <t>Not mentioned</t>
        </is>
      </c>
      <c r="K44" s="17" t="inlineStr">
        <is>
          <t>Not mentioned</t>
        </is>
      </c>
      <c r="L44" s="17" t="inlineStr">
        <is>
          <t>Not cited</t>
        </is>
      </c>
      <c r="M44" s="17" t="inlineStr">
        <is>
          <t>Not mentioned</t>
        </is>
      </c>
      <c r="N44" s="17" t="inlineStr">
        <is>
          <t>Runway, Descript, InVideo</t>
        </is>
      </c>
      <c r="O44" s="17" t="inlineStr">
        <is>
          <t>2026-10-21</t>
        </is>
      </c>
      <c r="P44" s="17" t="inlineStr">
        <is>
          <t>2026-10-23</t>
        </is>
      </c>
      <c r="Q44" s="17" t="inlineStr">
        <is>
          <t>No change</t>
        </is>
      </c>
      <c r="R44" s="17" t="inlineStr">
        <is>
          <t>visibility/raw_answers/sample_raw_answers_audit.json#Q-040</t>
        </is>
      </c>
      <c r="S44" s="17" t="inlineStr">
        <is>
          <t>Medium</t>
        </is>
      </c>
      <c r="T44" s="17" t="inlineStr">
        <is>
          <t>Location verified: Austin, TX</t>
        </is>
      </c>
      <c r="U44" s="18">
        <f>IF(COUNTIF(A$5:A$104, A44)=1, "UNIQUE", "DUPLICATE")</f>
        <v/>
      </c>
      <c r="V44" s="18">
        <f>IF(AND(B44&lt;&gt;"", F44&lt;&gt;""), "COMPLETE", "INCOMPLETE")</f>
        <v/>
      </c>
    </row>
    <row r="45">
      <c r="A45" s="17" t="inlineStr">
        <is>
          <t>Q-041</t>
        </is>
      </c>
      <c r="B45" s="5" t="inlineStr">
        <is>
          <t>How to create dynamic jump cuts and zoom-ins automatically from a script</t>
        </is>
      </c>
      <c r="C45" s="5" t="inlineStr">
        <is>
          <t>Informational</t>
        </is>
      </c>
      <c r="D45" s="5" t="inlineStr">
        <is>
          <t>YouTube Creator Community</t>
        </is>
      </c>
      <c r="E45" s="5" t="inlineStr">
        <is>
          <t>https://youtube.com/watch?v=auto-zoom-jump-cuts</t>
        </is>
      </c>
      <c r="F45" s="5" t="inlineStr">
        <is>
          <t>US</t>
        </is>
      </c>
      <c r="G45" s="17" t="inlineStr">
        <is>
          <t>&gt;10</t>
        </is>
      </c>
      <c r="H45" s="17" t="inlineStr">
        <is>
          <t>No</t>
        </is>
      </c>
      <c r="I45" s="17" t="inlineStr">
        <is>
          <t>https://g2.com/categories/video-editing</t>
        </is>
      </c>
      <c r="J45" s="17" t="inlineStr">
        <is>
          <t>Not mentioned</t>
        </is>
      </c>
      <c r="K45" s="17" t="inlineStr">
        <is>
          <t>Not mentioned</t>
        </is>
      </c>
      <c r="L45" s="17" t="inlineStr">
        <is>
          <t>Not cited</t>
        </is>
      </c>
      <c r="M45" s="17" t="inlineStr">
        <is>
          <t>Not mentioned</t>
        </is>
      </c>
      <c r="N45" s="17" t="inlineStr">
        <is>
          <t>Runway, Descript, InVideo</t>
        </is>
      </c>
      <c r="O45" s="17" t="inlineStr">
        <is>
          <t>2026-10-21</t>
        </is>
      </c>
      <c r="P45" s="17" t="inlineStr">
        <is>
          <t>2026-10-23</t>
        </is>
      </c>
      <c r="Q45" s="17" t="inlineStr">
        <is>
          <t>No change</t>
        </is>
      </c>
      <c r="R45" s="17" t="inlineStr">
        <is>
          <t>visibility/raw_answers/sample_raw_answers_audit.json#Q-041</t>
        </is>
      </c>
      <c r="S45" s="17" t="inlineStr">
        <is>
          <t>Medium</t>
        </is>
      </c>
      <c r="T45" s="17" t="inlineStr">
        <is>
          <t>Location verified: Chicago, IL</t>
        </is>
      </c>
      <c r="U45" s="18">
        <f>IF(COUNTIF(A$5:A$104, A45)=1, "UNIQUE", "DUPLICATE")</f>
        <v/>
      </c>
      <c r="V45" s="18">
        <f>IF(AND(B45&lt;&gt;"", F45&lt;&gt;""), "COMPLETE", "INCOMPLETE")</f>
        <v/>
      </c>
    </row>
    <row r="46">
      <c r="A46" s="17" t="inlineStr">
        <is>
          <t>Q-042</t>
        </is>
      </c>
      <c r="B46" s="5" t="inlineStr">
        <is>
          <t>Tools that automatically match video cuts to music beat drops</t>
        </is>
      </c>
      <c r="C46" s="5" t="inlineStr">
        <is>
          <t>Commercial</t>
        </is>
      </c>
      <c r="D46" s="5" t="inlineStr">
        <is>
          <t>Reddit r/premiere</t>
        </is>
      </c>
      <c r="E46" s="5" t="inlineStr">
        <is>
          <t>https://reddit.com/r/premiere/comments/beat_sync_ai</t>
        </is>
      </c>
      <c r="F46" s="5" t="inlineStr">
        <is>
          <t>US</t>
        </is>
      </c>
      <c r="G46" s="17" t="inlineStr">
        <is>
          <t>&gt;10</t>
        </is>
      </c>
      <c r="H46" s="17" t="inlineStr">
        <is>
          <t>No</t>
        </is>
      </c>
      <c r="I46" s="17" t="inlineStr">
        <is>
          <t>https://pcmag.com/articles/ai-video-tools</t>
        </is>
      </c>
      <c r="J46" s="17" t="inlineStr">
        <is>
          <t>Not mentioned</t>
        </is>
      </c>
      <c r="K46" s="17" t="inlineStr">
        <is>
          <t>Not mentioned</t>
        </is>
      </c>
      <c r="L46" s="17" t="inlineStr">
        <is>
          <t>Not cited</t>
        </is>
      </c>
      <c r="M46" s="17" t="inlineStr">
        <is>
          <t>Not mentioned</t>
        </is>
      </c>
      <c r="N46" s="17" t="inlineStr">
        <is>
          <t>Runway, Descript, InVideo</t>
        </is>
      </c>
      <c r="O46" s="17" t="inlineStr">
        <is>
          <t>2026-10-21</t>
        </is>
      </c>
      <c r="P46" s="17" t="inlineStr">
        <is>
          <t>2026-10-23</t>
        </is>
      </c>
      <c r="Q46" s="17" t="inlineStr">
        <is>
          <t>No change</t>
        </is>
      </c>
      <c r="R46" s="17" t="inlineStr">
        <is>
          <t>visibility/raw_answers/sample_raw_answers_audit.json#Q-042</t>
        </is>
      </c>
      <c r="S46" s="17" t="inlineStr">
        <is>
          <t>Medium</t>
        </is>
      </c>
      <c r="T46" s="17" t="inlineStr">
        <is>
          <t>Location verified: San Diego, CA</t>
        </is>
      </c>
      <c r="U46" s="18">
        <f>IF(COUNTIF(A$5:A$104, A46)=1, "UNIQUE", "DUPLICATE")</f>
        <v/>
      </c>
      <c r="V46" s="18">
        <f>IF(AND(B46&lt;&gt;"", F46&lt;&gt;""), "COMPLETE", "INCOMPLETE")</f>
        <v/>
      </c>
    </row>
    <row r="47">
      <c r="A47" s="17" t="inlineStr">
        <is>
          <t>Q-043</t>
        </is>
      </c>
      <c r="B47" s="5" t="inlineStr">
        <is>
          <t>How to generate smooth speed ramps in video using AI frame interpolation</t>
        </is>
      </c>
      <c r="C47" s="5" t="inlineStr">
        <is>
          <t>Informational</t>
        </is>
      </c>
      <c r="D47" s="5" t="inlineStr">
        <is>
          <t>Google People Also Ask</t>
        </is>
      </c>
      <c r="E47" s="5" t="inlineStr">
        <is>
          <t>https://google.com/search?q=ai+frame+interpolation+speed+ramp</t>
        </is>
      </c>
      <c r="F47" s="5" t="inlineStr">
        <is>
          <t>UK</t>
        </is>
      </c>
      <c r="G47" s="17" t="inlineStr">
        <is>
          <t>&gt;10</t>
        </is>
      </c>
      <c r="H47" s="17" t="inlineStr">
        <is>
          <t>No</t>
        </is>
      </c>
      <c r="I47" s="17" t="inlineStr">
        <is>
          <t>https://g2.com/categories/video-editing</t>
        </is>
      </c>
      <c r="J47" s="17" t="inlineStr">
        <is>
          <t>Not mentioned</t>
        </is>
      </c>
      <c r="K47" s="17" t="inlineStr">
        <is>
          <t>Not mentioned</t>
        </is>
      </c>
      <c r="L47" s="17" t="inlineStr">
        <is>
          <t>Not cited</t>
        </is>
      </c>
      <c r="M47" s="17" t="inlineStr">
        <is>
          <t>Not mentioned</t>
        </is>
      </c>
      <c r="N47" s="17" t="inlineStr">
        <is>
          <t>Runway, Descript, InVideo</t>
        </is>
      </c>
      <c r="O47" s="17" t="inlineStr">
        <is>
          <t>2026-10-21</t>
        </is>
      </c>
      <c r="P47" s="17" t="inlineStr">
        <is>
          <t>2026-10-23</t>
        </is>
      </c>
      <c r="Q47" s="17" t="inlineStr">
        <is>
          <t>No change</t>
        </is>
      </c>
      <c r="R47" s="17" t="inlineStr">
        <is>
          <t>visibility/raw_answers/sample_raw_answers_audit.json#Q-043</t>
        </is>
      </c>
      <c r="S47" s="17" t="inlineStr">
        <is>
          <t>Medium</t>
        </is>
      </c>
      <c r="T47" s="17" t="inlineStr">
        <is>
          <t>Location verified: Bristol, UK</t>
        </is>
      </c>
      <c r="U47" s="18">
        <f>IF(COUNTIF(A$5:A$104, A47)=1, "UNIQUE", "DUPLICATE")</f>
        <v/>
      </c>
      <c r="V47" s="18">
        <f>IF(AND(B47&lt;&gt;"", F47&lt;&gt;""), "COMPLETE", "INCOMPLETE")</f>
        <v/>
      </c>
    </row>
    <row r="48">
      <c r="A48" s="17" t="inlineStr">
        <is>
          <t>Q-044</t>
        </is>
      </c>
      <c r="B48" s="5" t="inlineStr">
        <is>
          <t>Best free AI video editor for beginner creators with zero editing experience</t>
        </is>
      </c>
      <c r="C48" s="5" t="inlineStr">
        <is>
          <t>Commercial</t>
        </is>
      </c>
      <c r="D48" s="5" t="inlineStr">
        <is>
          <t>Google Search Suggestions</t>
        </is>
      </c>
      <c r="E48" s="5" t="inlineStr">
        <is>
          <t>https://google.com/search?q=free+ai+video+editor+beginners</t>
        </is>
      </c>
      <c r="F48" s="5" t="inlineStr">
        <is>
          <t>IN</t>
        </is>
      </c>
      <c r="G48" s="17" t="inlineStr">
        <is>
          <t>&gt;10</t>
        </is>
      </c>
      <c r="H48" s="17" t="inlineStr">
        <is>
          <t>Yes (Quotes runwayml.com)</t>
        </is>
      </c>
      <c r="I48" s="17" t="inlineStr">
        <is>
          <t>https://pcmag.com/articles/ai-video-tools</t>
        </is>
      </c>
      <c r="J48" s="17" t="inlineStr">
        <is>
          <t>Not mentioned</t>
        </is>
      </c>
      <c r="K48" s="17" t="inlineStr">
        <is>
          <t>Not mentioned</t>
        </is>
      </c>
      <c r="L48" s="17" t="inlineStr">
        <is>
          <t>Not cited</t>
        </is>
      </c>
      <c r="M48" s="17" t="inlineStr">
        <is>
          <t>Not mentioned</t>
        </is>
      </c>
      <c r="N48" s="17" t="inlineStr">
        <is>
          <t>Runway, Descript, InVideo</t>
        </is>
      </c>
      <c r="O48" s="17" t="inlineStr">
        <is>
          <t>2026-10-21</t>
        </is>
      </c>
      <c r="P48" s="17" t="inlineStr">
        <is>
          <t>2026-10-23</t>
        </is>
      </c>
      <c r="Q48" s="17" t="inlineStr">
        <is>
          <t>No change</t>
        </is>
      </c>
      <c r="R48" s="17" t="inlineStr">
        <is>
          <t>visibility/raw_answers/sample_raw_answers_audit.json#Q-044</t>
        </is>
      </c>
      <c r="S48" s="17" t="inlineStr">
        <is>
          <t>Medium</t>
        </is>
      </c>
      <c r="T48" s="17" t="inlineStr">
        <is>
          <t>Location verified: Bengaluru, IN</t>
        </is>
      </c>
      <c r="U48" s="18">
        <f>IF(COUNTIF(A$5:A$104, A48)=1, "UNIQUE", "DUPLICATE")</f>
        <v/>
      </c>
      <c r="V48" s="18">
        <f>IF(AND(B48&lt;&gt;"", F48&lt;&gt;""), "COMPLETE", "INCOMPLETE")</f>
        <v/>
      </c>
    </row>
    <row r="49">
      <c r="A49" s="17" t="inlineStr">
        <is>
          <t>Q-045</t>
        </is>
      </c>
      <c r="B49" s="5" t="inlineStr">
        <is>
          <t>How to automate multi-cam switching based on which speaker is talking</t>
        </is>
      </c>
      <c r="C49" s="5" t="inlineStr">
        <is>
          <t>Informational</t>
        </is>
      </c>
      <c r="D49" s="5" t="inlineStr">
        <is>
          <t>Quora</t>
        </is>
      </c>
      <c r="E49" s="5" t="inlineStr">
        <is>
          <t>https://quora.com/multicam-auto-switching-ai</t>
        </is>
      </c>
      <c r="F49" s="5" t="inlineStr">
        <is>
          <t>US</t>
        </is>
      </c>
      <c r="G49" s="17" t="inlineStr">
        <is>
          <t>&gt;10</t>
        </is>
      </c>
      <c r="H49" s="17" t="inlineStr">
        <is>
          <t>No</t>
        </is>
      </c>
      <c r="I49" s="17" t="inlineStr">
        <is>
          <t>https://g2.com/categories/video-editing</t>
        </is>
      </c>
      <c r="J49" s="17" t="inlineStr">
        <is>
          <t>Not mentioned</t>
        </is>
      </c>
      <c r="K49" s="17" t="inlineStr">
        <is>
          <t>Not mentioned</t>
        </is>
      </c>
      <c r="L49" s="17" t="inlineStr">
        <is>
          <t>Not cited</t>
        </is>
      </c>
      <c r="M49" s="17" t="inlineStr">
        <is>
          <t>Not mentioned</t>
        </is>
      </c>
      <c r="N49" s="17" t="inlineStr">
        <is>
          <t>Runway, Descript, InVideo</t>
        </is>
      </c>
      <c r="O49" s="17" t="inlineStr">
        <is>
          <t>2026-10-21</t>
        </is>
      </c>
      <c r="P49" s="17" t="inlineStr">
        <is>
          <t>2026-10-23</t>
        </is>
      </c>
      <c r="Q49" s="17" t="inlineStr">
        <is>
          <t>No change</t>
        </is>
      </c>
      <c r="R49" s="17" t="inlineStr">
        <is>
          <t>visibility/raw_answers/sample_raw_answers_audit.json#Q-045</t>
        </is>
      </c>
      <c r="S49" s="17" t="inlineStr">
        <is>
          <t>Medium</t>
        </is>
      </c>
      <c r="T49" s="17" t="inlineStr">
        <is>
          <t>Location verified: Seattle, WA</t>
        </is>
      </c>
      <c r="U49" s="18">
        <f>IF(COUNTIF(A$5:A$104, A49)=1, "UNIQUE", "DUPLICATE")</f>
        <v/>
      </c>
      <c r="V49" s="18">
        <f>IF(AND(B49&lt;&gt;"", F49&lt;&gt;""), "COMPLETE", "INCOMPLETE")</f>
        <v/>
      </c>
    </row>
    <row r="50">
      <c r="A50" s="17" t="inlineStr">
        <is>
          <t>Q-046</t>
        </is>
      </c>
      <c r="B50" s="5" t="inlineStr">
        <is>
          <t>How to normalize audio loudness for YouTube and Spotify video podcasts</t>
        </is>
      </c>
      <c r="C50" s="5" t="inlineStr">
        <is>
          <t>Informational</t>
        </is>
      </c>
      <c r="D50" s="5" t="inlineStr">
        <is>
          <t>Google People Also Ask</t>
        </is>
      </c>
      <c r="E50" s="5" t="inlineStr">
        <is>
          <t>https://google.com/search?q=audio+loudness+normalization+youtube</t>
        </is>
      </c>
      <c r="F50" s="5" t="inlineStr">
        <is>
          <t>US</t>
        </is>
      </c>
      <c r="G50" s="17" t="inlineStr">
        <is>
          <t>&gt;10</t>
        </is>
      </c>
      <c r="H50" s="17" t="inlineStr">
        <is>
          <t>No</t>
        </is>
      </c>
      <c r="I50" s="17" t="inlineStr">
        <is>
          <t>https://pcmag.com/articles/ai-video-tools</t>
        </is>
      </c>
      <c r="J50" s="17" t="inlineStr">
        <is>
          <t>Not mentioned</t>
        </is>
      </c>
      <c r="K50" s="17" t="inlineStr">
        <is>
          <t>Not mentioned</t>
        </is>
      </c>
      <c r="L50" s="17" t="inlineStr">
        <is>
          <t>Not cited</t>
        </is>
      </c>
      <c r="M50" s="17" t="inlineStr">
        <is>
          <t>Not mentioned</t>
        </is>
      </c>
      <c r="N50" s="17" t="inlineStr">
        <is>
          <t>Runway, Descript, InVideo</t>
        </is>
      </c>
      <c r="O50" s="17" t="inlineStr">
        <is>
          <t>2026-10-21</t>
        </is>
      </c>
      <c r="P50" s="17" t="inlineStr">
        <is>
          <t>2026-10-23</t>
        </is>
      </c>
      <c r="Q50" s="17" t="inlineStr">
        <is>
          <t>No change</t>
        </is>
      </c>
      <c r="R50" s="17" t="inlineStr">
        <is>
          <t>visibility/raw_answers/sample_raw_answers_audit.json#Q-046</t>
        </is>
      </c>
      <c r="S50" s="17" t="inlineStr">
        <is>
          <t>Medium</t>
        </is>
      </c>
      <c r="T50" s="17" t="inlineStr">
        <is>
          <t>Location verified: New York, NY</t>
        </is>
      </c>
      <c r="U50" s="18">
        <f>IF(COUNTIF(A$5:A$104, A50)=1, "UNIQUE", "DUPLICATE")</f>
        <v/>
      </c>
      <c r="V50" s="18">
        <f>IF(AND(B50&lt;&gt;"", F50&lt;&gt;""), "COMPLETE", "INCOMPLETE")</f>
        <v/>
      </c>
    </row>
    <row r="51">
      <c r="A51" s="17" t="inlineStr">
        <is>
          <t>Q-047</t>
        </is>
      </c>
      <c r="B51" s="5" t="inlineStr">
        <is>
          <t>Can AI clean background hum and echo from creator phone recordings?</t>
        </is>
      </c>
      <c r="C51" s="5" t="inlineStr">
        <is>
          <t>Informational</t>
        </is>
      </c>
      <c r="D51" s="5" t="inlineStr">
        <is>
          <t>Reddit r/audiorepair</t>
        </is>
      </c>
      <c r="E51" s="5" t="inlineStr">
        <is>
          <t>https://reddit.com/r/audiorepair/comments/phone_mic_clean</t>
        </is>
      </c>
      <c r="F51" s="5" t="inlineStr">
        <is>
          <t>IN</t>
        </is>
      </c>
      <c r="G51" s="17" t="inlineStr">
        <is>
          <t>&gt;10</t>
        </is>
      </c>
      <c r="H51" s="17" t="inlineStr">
        <is>
          <t>No</t>
        </is>
      </c>
      <c r="I51" s="17" t="inlineStr">
        <is>
          <t>https://g2.com/categories/video-editing</t>
        </is>
      </c>
      <c r="J51" s="17" t="inlineStr">
        <is>
          <t>Not mentioned</t>
        </is>
      </c>
      <c r="K51" s="17" t="inlineStr">
        <is>
          <t>Not mentioned</t>
        </is>
      </c>
      <c r="L51" s="17" t="inlineStr">
        <is>
          <t>Not cited</t>
        </is>
      </c>
      <c r="M51" s="17" t="inlineStr">
        <is>
          <t>Not mentioned</t>
        </is>
      </c>
      <c r="N51" s="17" t="inlineStr">
        <is>
          <t>Runway, Descript, InVideo</t>
        </is>
      </c>
      <c r="O51" s="17" t="inlineStr">
        <is>
          <t>2026-10-21</t>
        </is>
      </c>
      <c r="P51" s="17" t="inlineStr">
        <is>
          <t>2026-10-23</t>
        </is>
      </c>
      <c r="Q51" s="17" t="inlineStr">
        <is>
          <t>No change</t>
        </is>
      </c>
      <c r="R51" s="17" t="inlineStr">
        <is>
          <t>visibility/raw_answers/sample_raw_answers_audit.json#Q-047</t>
        </is>
      </c>
      <c r="S51" s="17" t="inlineStr">
        <is>
          <t>Medium</t>
        </is>
      </c>
      <c r="T51" s="17" t="inlineStr">
        <is>
          <t>Location verified: Pune, IN</t>
        </is>
      </c>
      <c r="U51" s="18">
        <f>IF(COUNTIF(A$5:A$104, A51)=1, "UNIQUE", "DUPLICATE")</f>
        <v/>
      </c>
      <c r="V51" s="18">
        <f>IF(AND(B51&lt;&gt;"", F51&lt;&gt;""), "COMPLETE", "INCOMPLETE")</f>
        <v/>
      </c>
    </row>
    <row r="52">
      <c r="A52" s="17" t="inlineStr">
        <is>
          <t>Q-048</t>
        </is>
      </c>
      <c r="B52" s="5" t="inlineStr">
        <is>
          <t>How to automate video intros and outro bumper animations with AI</t>
        </is>
      </c>
      <c r="C52" s="5" t="inlineStr">
        <is>
          <t>Informational</t>
        </is>
      </c>
      <c r="D52" s="5" t="inlineStr">
        <is>
          <t>Google Search Suggestions</t>
        </is>
      </c>
      <c r="E52" s="5" t="inlineStr">
        <is>
          <t>https://google.com/search?q=auto+intro+outro+animation</t>
        </is>
      </c>
      <c r="F52" s="5" t="inlineStr">
        <is>
          <t>US</t>
        </is>
      </c>
      <c r="G52" s="17" t="inlineStr">
        <is>
          <t>&gt;10</t>
        </is>
      </c>
      <c r="H52" s="17" t="inlineStr">
        <is>
          <t>Yes (Quotes runwayml.com)</t>
        </is>
      </c>
      <c r="I52" s="17" t="inlineStr">
        <is>
          <t>https://pcmag.com/articles/ai-video-tools</t>
        </is>
      </c>
      <c r="J52" s="17" t="inlineStr">
        <is>
          <t>Not mentioned</t>
        </is>
      </c>
      <c r="K52" s="17" t="inlineStr">
        <is>
          <t>Not mentioned</t>
        </is>
      </c>
      <c r="L52" s="17" t="inlineStr">
        <is>
          <t>Not cited</t>
        </is>
      </c>
      <c r="M52" s="17" t="inlineStr">
        <is>
          <t>Not mentioned</t>
        </is>
      </c>
      <c r="N52" s="17" t="inlineStr">
        <is>
          <t>Runway, Descript, InVideo</t>
        </is>
      </c>
      <c r="O52" s="17" t="inlineStr">
        <is>
          <t>2026-10-21</t>
        </is>
      </c>
      <c r="P52" s="17" t="inlineStr">
        <is>
          <t>2026-10-23</t>
        </is>
      </c>
      <c r="Q52" s="17" t="inlineStr">
        <is>
          <t>No change</t>
        </is>
      </c>
      <c r="R52" s="17" t="inlineStr">
        <is>
          <t>visibility/raw_answers/sample_raw_answers_audit.json#Q-048</t>
        </is>
      </c>
      <c r="S52" s="17" t="inlineStr">
        <is>
          <t>Medium</t>
        </is>
      </c>
      <c r="T52" s="17" t="inlineStr">
        <is>
          <t>Location verified: Phoenix, AZ</t>
        </is>
      </c>
      <c r="U52" s="18">
        <f>IF(COUNTIF(A$5:A$104, A52)=1, "UNIQUE", "DUPLICATE")</f>
        <v/>
      </c>
      <c r="V52" s="18">
        <f>IF(AND(B52&lt;&gt;"", F52&lt;&gt;""), "COMPLETE", "INCOMPLETE")</f>
        <v/>
      </c>
    </row>
    <row r="53">
      <c r="A53" s="17" t="inlineStr">
        <is>
          <t>Q-049</t>
        </is>
      </c>
      <c r="B53" s="5" t="inlineStr">
        <is>
          <t>Best AI video assembly pipeline for real estate agent home tour videos</t>
        </is>
      </c>
      <c r="C53" s="5" t="inlineStr">
        <is>
          <t>Commercial</t>
        </is>
      </c>
      <c r="D53" s="5" t="inlineStr">
        <is>
          <t>Google Search Suggestions</t>
        </is>
      </c>
      <c r="E53" s="5" t="inlineStr">
        <is>
          <t>https://google.com/search?q=ai+video+pipeline+real+estate</t>
        </is>
      </c>
      <c r="F53" s="5" t="inlineStr">
        <is>
          <t>US</t>
        </is>
      </c>
      <c r="G53" s="17" t="inlineStr">
        <is>
          <t>&gt;10</t>
        </is>
      </c>
      <c r="H53" s="17" t="inlineStr">
        <is>
          <t>No</t>
        </is>
      </c>
      <c r="I53" s="17" t="inlineStr">
        <is>
          <t>https://g2.com/categories/video-editing</t>
        </is>
      </c>
      <c r="J53" s="17" t="inlineStr">
        <is>
          <t>Not mentioned</t>
        </is>
      </c>
      <c r="K53" s="17" t="inlineStr">
        <is>
          <t>Not mentioned</t>
        </is>
      </c>
      <c r="L53" s="17" t="inlineStr">
        <is>
          <t>Not cited</t>
        </is>
      </c>
      <c r="M53" s="17" t="inlineStr">
        <is>
          <t>Not mentioned</t>
        </is>
      </c>
      <c r="N53" s="17" t="inlineStr">
        <is>
          <t>Runway, Descript, InVideo</t>
        </is>
      </c>
      <c r="O53" s="17" t="inlineStr">
        <is>
          <t>2026-10-21</t>
        </is>
      </c>
      <c r="P53" s="17" t="inlineStr">
        <is>
          <t>2026-10-23</t>
        </is>
      </c>
      <c r="Q53" s="17" t="inlineStr">
        <is>
          <t>No change</t>
        </is>
      </c>
      <c r="R53" s="17" t="inlineStr">
        <is>
          <t>visibility/raw_answers/sample_raw_answers_audit.json#Q-049</t>
        </is>
      </c>
      <c r="S53" s="17" t="inlineStr">
        <is>
          <t>Medium</t>
        </is>
      </c>
      <c r="T53" s="17" t="inlineStr">
        <is>
          <t>Location verified: Miami, FL</t>
        </is>
      </c>
      <c r="U53" s="18">
        <f>IF(COUNTIF(A$5:A$104, A53)=1, "UNIQUE", "DUPLICATE")</f>
        <v/>
      </c>
      <c r="V53" s="18">
        <f>IF(AND(B53&lt;&gt;"", F53&lt;&gt;""), "COMPLETE", "INCOMPLETE")</f>
        <v/>
      </c>
    </row>
    <row r="54">
      <c r="A54" s="17" t="inlineStr">
        <is>
          <t>Q-050</t>
        </is>
      </c>
      <c r="B54" s="5" t="inlineStr">
        <is>
          <t>How to edit a 10-minute video in under 5 minutes using AI workflow tools</t>
        </is>
      </c>
      <c r="C54" s="5" t="inlineStr">
        <is>
          <t>Informational</t>
        </is>
      </c>
      <c r="D54" s="5" t="inlineStr">
        <is>
          <t>YouTube Creator Community</t>
        </is>
      </c>
      <c r="E54" s="5" t="inlineStr">
        <is>
          <t>https://youtube.com/watch?v=edit-10min-video-fast</t>
        </is>
      </c>
      <c r="F54" s="5" t="inlineStr">
        <is>
          <t>UK</t>
        </is>
      </c>
      <c r="G54" s="17" t="inlineStr">
        <is>
          <t>&gt;10</t>
        </is>
      </c>
      <c r="H54" s="17" t="inlineStr">
        <is>
          <t>No</t>
        </is>
      </c>
      <c r="I54" s="17" t="inlineStr">
        <is>
          <t>https://pcmag.com/articles/ai-video-tools</t>
        </is>
      </c>
      <c r="J54" s="17" t="inlineStr">
        <is>
          <t>Not mentioned</t>
        </is>
      </c>
      <c r="K54" s="17" t="inlineStr">
        <is>
          <t>Not mentioned</t>
        </is>
      </c>
      <c r="L54" s="17" t="inlineStr">
        <is>
          <t>Not cited</t>
        </is>
      </c>
      <c r="M54" s="17" t="inlineStr">
        <is>
          <t>Not mentioned</t>
        </is>
      </c>
      <c r="N54" s="17" t="inlineStr">
        <is>
          <t>Runway, Descript, InVideo</t>
        </is>
      </c>
      <c r="O54" s="17" t="inlineStr">
        <is>
          <t>2026-10-21</t>
        </is>
      </c>
      <c r="P54" s="17" t="inlineStr">
        <is>
          <t>2026-10-23</t>
        </is>
      </c>
      <c r="Q54" s="17" t="inlineStr">
        <is>
          <t>No change</t>
        </is>
      </c>
      <c r="R54" s="17" t="inlineStr">
        <is>
          <t>visibility/raw_answers/sample_raw_answers_audit.json#Q-050</t>
        </is>
      </c>
      <c r="S54" s="17" t="inlineStr">
        <is>
          <t>Medium</t>
        </is>
      </c>
      <c r="T54" s="17" t="inlineStr">
        <is>
          <t>Location verified: London, UK</t>
        </is>
      </c>
      <c r="U54" s="18">
        <f>IF(COUNTIF(A$5:A$104, A54)=1, "UNIQUE", "DUPLICATE")</f>
        <v/>
      </c>
      <c r="V54" s="18">
        <f>IF(AND(B54&lt;&gt;"", F54&lt;&gt;""), "COMPLETE", "INCOMPLETE")</f>
        <v/>
      </c>
    </row>
    <row r="55">
      <c r="A55" s="17" t="inlineStr">
        <is>
          <t>Q-051</t>
        </is>
      </c>
      <c r="B55" s="5" t="inlineStr">
        <is>
          <t>How to generate animated Hormozi-style dynamic captions automatically</t>
        </is>
      </c>
      <c r="C55" s="5" t="inlineStr">
        <is>
          <t>Informational</t>
        </is>
      </c>
      <c r="D55" s="5" t="inlineStr">
        <is>
          <t>Google Search Suggestions</t>
        </is>
      </c>
      <c r="E55" s="5" t="inlineStr">
        <is>
          <t>https://google.com/search?q=hormozi+style+captions+auto</t>
        </is>
      </c>
      <c r="F55" s="5" t="inlineStr">
        <is>
          <t>US</t>
        </is>
      </c>
      <c r="G55" s="17" t="inlineStr">
        <is>
          <t>#3</t>
        </is>
      </c>
      <c r="H55" s="17" t="inlineStr">
        <is>
          <t>Yes (Quotes runwayml.com)</t>
        </is>
      </c>
      <c r="I55" s="17" t="inlineStr">
        <is>
          <t>https://g2.com/categories/video-editing</t>
        </is>
      </c>
      <c r="J55" s="17" t="inlineStr">
        <is>
          <t>Mentioned (Text only)</t>
        </is>
      </c>
      <c r="K55" s="17" t="inlineStr">
        <is>
          <t>Mentioned</t>
        </is>
      </c>
      <c r="L55" s="17" t="inlineStr">
        <is>
          <t>Cited with Link</t>
        </is>
      </c>
      <c r="M55" s="17" t="inlineStr">
        <is>
          <t>Not mentioned</t>
        </is>
      </c>
      <c r="N55" s="17" t="inlineStr">
        <is>
          <t>Runway, Descript, InVideo</t>
        </is>
      </c>
      <c r="O55" s="17" t="inlineStr">
        <is>
          <t>2026-10-21</t>
        </is>
      </c>
      <c r="P55" s="17" t="inlineStr">
        <is>
          <t>2026-10-23</t>
        </is>
      </c>
      <c r="Q55" s="17" t="inlineStr">
        <is>
          <t>Yes (Perplexity citation added)</t>
        </is>
      </c>
      <c r="R55" s="17" t="inlineStr">
        <is>
          <t>visibility/raw_answers/sample_raw_answers_audit.json#Q-051</t>
        </is>
      </c>
      <c r="S55" s="17" t="inlineStr">
        <is>
          <t>High</t>
        </is>
      </c>
      <c r="T55" s="17" t="inlineStr">
        <is>
          <t>Location verified: New York, NY</t>
        </is>
      </c>
      <c r="U55" s="18">
        <f>IF(COUNTIF(A$5:A$104, A55)=1, "UNIQUE", "DUPLICATE")</f>
        <v/>
      </c>
      <c r="V55" s="18">
        <f>IF(AND(B55&lt;&gt;"", F55&lt;&gt;""), "COMPLETE", "INCOMPLETE")</f>
        <v/>
      </c>
    </row>
    <row r="56">
      <c r="A56" s="17" t="inlineStr">
        <is>
          <t>Q-052</t>
        </is>
      </c>
      <c r="B56" s="5" t="inlineStr">
        <is>
          <t>Best AI caption generators with word-by-word highlight and emojis</t>
        </is>
      </c>
      <c r="C56" s="5" t="inlineStr">
        <is>
          <t>Commercial</t>
        </is>
      </c>
      <c r="D56" s="5" t="inlineStr">
        <is>
          <t>Reddit r/Tiktokhelp</t>
        </is>
      </c>
      <c r="E56" s="5" t="inlineStr">
        <is>
          <t>https://reddit.com/r/Tiktokhelp/comments/best_caption_app</t>
        </is>
      </c>
      <c r="F56" s="5" t="inlineStr">
        <is>
          <t>US</t>
        </is>
      </c>
      <c r="G56" s="17" t="inlineStr">
        <is>
          <t>#3</t>
        </is>
      </c>
      <c r="H56" s="17" t="inlineStr">
        <is>
          <t>Yes (Quotes runwayml.com)</t>
        </is>
      </c>
      <c r="I56" s="17" t="inlineStr">
        <is>
          <t>https://pcmag.com/articles/ai-video-tools</t>
        </is>
      </c>
      <c r="J56" s="17" t="inlineStr">
        <is>
          <t>Mentioned (Text only)</t>
        </is>
      </c>
      <c r="K56" s="17" t="inlineStr">
        <is>
          <t>Not mentioned</t>
        </is>
      </c>
      <c r="L56" s="17" t="inlineStr">
        <is>
          <t>Cited with Link</t>
        </is>
      </c>
      <c r="M56" s="17" t="inlineStr">
        <is>
          <t>Not mentioned</t>
        </is>
      </c>
      <c r="N56" s="17" t="inlineStr">
        <is>
          <t>Runway, Descript, InVideo</t>
        </is>
      </c>
      <c r="O56" s="17" t="inlineStr">
        <is>
          <t>2026-10-21</t>
        </is>
      </c>
      <c r="P56" s="17" t="inlineStr">
        <is>
          <t>2026-10-23</t>
        </is>
      </c>
      <c r="Q56" s="17" t="inlineStr">
        <is>
          <t>Yes (Perplexity citation added)</t>
        </is>
      </c>
      <c r="R56" s="17" t="inlineStr">
        <is>
          <t>visibility/raw_answers/sample_raw_answers_audit.json#Q-052</t>
        </is>
      </c>
      <c r="S56" s="17" t="inlineStr">
        <is>
          <t>High</t>
        </is>
      </c>
      <c r="T56" s="17" t="inlineStr">
        <is>
          <t>Location verified: Los Angeles, CA</t>
        </is>
      </c>
      <c r="U56" s="18">
        <f>IF(COUNTIF(A$5:A$104, A56)=1, "UNIQUE", "DUPLICATE")</f>
        <v/>
      </c>
      <c r="V56" s="18">
        <f>IF(AND(B56&lt;&gt;"", F56&lt;&gt;""), "COMPLETE", "INCOMPLETE")</f>
        <v/>
      </c>
    </row>
    <row r="57">
      <c r="A57" s="17" t="inlineStr">
        <is>
          <t>Q-053</t>
        </is>
      </c>
      <c r="B57" s="5" t="inlineStr">
        <is>
          <t>How accurate is AI speech-to-text for heavy regional accents in English?</t>
        </is>
      </c>
      <c r="C57" s="5" t="inlineStr">
        <is>
          <t>Informational</t>
        </is>
      </c>
      <c r="D57" s="5" t="inlineStr">
        <is>
          <t>Google People Also Ask</t>
        </is>
      </c>
      <c r="E57" s="5" t="inlineStr">
        <is>
          <t>https://google.com/search?q=ai+transcription+accent+accuracy</t>
        </is>
      </c>
      <c r="F57" s="5" t="inlineStr">
        <is>
          <t>UK</t>
        </is>
      </c>
      <c r="G57" s="17" t="inlineStr">
        <is>
          <t>#3</t>
        </is>
      </c>
      <c r="H57" s="17" t="inlineStr">
        <is>
          <t>Yes (Quotes runwayml.com)</t>
        </is>
      </c>
      <c r="I57" s="17" t="inlineStr">
        <is>
          <t>https://g2.com/categories/video-editing</t>
        </is>
      </c>
      <c r="J57" s="17" t="inlineStr">
        <is>
          <t>Mentioned (Text only)</t>
        </is>
      </c>
      <c r="K57" s="17" t="inlineStr">
        <is>
          <t>Not mentioned</t>
        </is>
      </c>
      <c r="L57" s="17" t="inlineStr">
        <is>
          <t>Cited with Link</t>
        </is>
      </c>
      <c r="M57" s="17" t="inlineStr">
        <is>
          <t>Not mentioned</t>
        </is>
      </c>
      <c r="N57" s="17" t="inlineStr">
        <is>
          <t>Runway, Descript, InVideo</t>
        </is>
      </c>
      <c r="O57" s="17" t="inlineStr">
        <is>
          <t>2026-10-21</t>
        </is>
      </c>
      <c r="P57" s="17" t="inlineStr">
        <is>
          <t>2026-10-23</t>
        </is>
      </c>
      <c r="Q57" s="17" t="inlineStr">
        <is>
          <t>Yes (Perplexity citation added)</t>
        </is>
      </c>
      <c r="R57" s="17" t="inlineStr">
        <is>
          <t>visibility/raw_answers/sample_raw_answers_audit.json#Q-053</t>
        </is>
      </c>
      <c r="S57" s="17" t="inlineStr">
        <is>
          <t>High</t>
        </is>
      </c>
      <c r="T57" s="17" t="inlineStr">
        <is>
          <t>Location verified: Glasgow, UK</t>
        </is>
      </c>
      <c r="U57" s="18">
        <f>IF(COUNTIF(A$5:A$104, A57)=1, "UNIQUE", "DUPLICATE")</f>
        <v/>
      </c>
      <c r="V57" s="18">
        <f>IF(AND(B57&lt;&gt;"", F57&lt;&gt;""), "COMPLETE", "INCOMPLETE")</f>
        <v/>
      </c>
    </row>
    <row r="58">
      <c r="A58" s="17" t="inlineStr">
        <is>
          <t>Q-054</t>
        </is>
      </c>
      <c r="B58" s="5" t="inlineStr">
        <is>
          <t>How to translate and dub English YouTube videos into Hindi and Spanish with AI</t>
        </is>
      </c>
      <c r="C58" s="5" t="inlineStr">
        <is>
          <t>Informational</t>
        </is>
      </c>
      <c r="D58" s="5" t="inlineStr">
        <is>
          <t>YouTube Creator Community</t>
        </is>
      </c>
      <c r="E58" s="5" t="inlineStr">
        <is>
          <t>https://youtube.com/watch?v=ai-video-dubbing-hindi</t>
        </is>
      </c>
      <c r="F58" s="5" t="inlineStr">
        <is>
          <t>IN</t>
        </is>
      </c>
      <c r="G58" s="17" t="inlineStr">
        <is>
          <t>#3</t>
        </is>
      </c>
      <c r="H58" s="17" t="inlineStr">
        <is>
          <t>Yes (Quotes runwayml.com)</t>
        </is>
      </c>
      <c r="I58" s="17" t="inlineStr">
        <is>
          <t>https://pcmag.com/articles/ai-video-tools</t>
        </is>
      </c>
      <c r="J58" s="17" t="inlineStr">
        <is>
          <t>Mentioned (Text only)</t>
        </is>
      </c>
      <c r="K58" s="17" t="inlineStr">
        <is>
          <t>Not mentioned</t>
        </is>
      </c>
      <c r="L58" s="17" t="inlineStr">
        <is>
          <t>Cited with Link</t>
        </is>
      </c>
      <c r="M58" s="17" t="inlineStr">
        <is>
          <t>Not mentioned</t>
        </is>
      </c>
      <c r="N58" s="17" t="inlineStr">
        <is>
          <t>Runway, Descript, InVideo</t>
        </is>
      </c>
      <c r="O58" s="17" t="inlineStr">
        <is>
          <t>2026-10-21</t>
        </is>
      </c>
      <c r="P58" s="17" t="inlineStr">
        <is>
          <t>2026-10-23</t>
        </is>
      </c>
      <c r="Q58" s="17" t="inlineStr">
        <is>
          <t>Yes (Perplexity citation added)</t>
        </is>
      </c>
      <c r="R58" s="17" t="inlineStr">
        <is>
          <t>visibility/raw_answers/sample_raw_answers_audit.json#Q-054</t>
        </is>
      </c>
      <c r="S58" s="17" t="inlineStr">
        <is>
          <t>High</t>
        </is>
      </c>
      <c r="T58" s="17" t="inlineStr">
        <is>
          <t>Location verified: New Delhi, IN</t>
        </is>
      </c>
      <c r="U58" s="18">
        <f>IF(COUNTIF(A$5:A$104, A58)=1, "UNIQUE", "DUPLICATE")</f>
        <v/>
      </c>
      <c r="V58" s="18">
        <f>IF(AND(B58&lt;&gt;"", F58&lt;&gt;""), "COMPLETE", "INCOMPLETE")</f>
        <v/>
      </c>
    </row>
    <row r="59">
      <c r="A59" s="17" t="inlineStr">
        <is>
          <t>Q-055</t>
        </is>
      </c>
      <c r="B59" s="5" t="inlineStr">
        <is>
          <t>How to burn open captions into video without losing 4K resolution</t>
        </is>
      </c>
      <c r="C59" s="5" t="inlineStr">
        <is>
          <t>Informational</t>
        </is>
      </c>
      <c r="D59" s="5" t="inlineStr">
        <is>
          <t>Quora</t>
        </is>
      </c>
      <c r="E59" s="5" t="inlineStr">
        <is>
          <t>https://quora.com/burn-open-captions-4k</t>
        </is>
      </c>
      <c r="F59" s="5" t="inlineStr">
        <is>
          <t>US</t>
        </is>
      </c>
      <c r="G59" s="17" t="inlineStr">
        <is>
          <t>&gt;10</t>
        </is>
      </c>
      <c r="H59" s="17" t="inlineStr">
        <is>
          <t>No</t>
        </is>
      </c>
      <c r="I59" s="17" t="inlineStr">
        <is>
          <t>https://g2.com/categories/video-editing</t>
        </is>
      </c>
      <c r="J59" s="17" t="inlineStr">
        <is>
          <t>Not mentioned</t>
        </is>
      </c>
      <c r="K59" s="17" t="inlineStr">
        <is>
          <t>Not mentioned</t>
        </is>
      </c>
      <c r="L59" s="17" t="inlineStr">
        <is>
          <t>Not cited</t>
        </is>
      </c>
      <c r="M59" s="17" t="inlineStr">
        <is>
          <t>Not mentioned</t>
        </is>
      </c>
      <c r="N59" s="17" t="inlineStr">
        <is>
          <t>Runway, Descript, InVideo</t>
        </is>
      </c>
      <c r="O59" s="17" t="inlineStr">
        <is>
          <t>2026-10-21</t>
        </is>
      </c>
      <c r="P59" s="17" t="inlineStr">
        <is>
          <t>2026-10-23</t>
        </is>
      </c>
      <c r="Q59" s="17" t="inlineStr">
        <is>
          <t>No change</t>
        </is>
      </c>
      <c r="R59" s="17" t="inlineStr">
        <is>
          <t>visibility/raw_answers/sample_raw_answers_audit.json#Q-055</t>
        </is>
      </c>
      <c r="S59" s="17" t="inlineStr">
        <is>
          <t>Medium</t>
        </is>
      </c>
      <c r="T59" s="17" t="inlineStr">
        <is>
          <t>Location verified: San Francisco, CA</t>
        </is>
      </c>
      <c r="U59" s="18">
        <f>IF(COUNTIF(A$5:A$104, A59)=1, "UNIQUE", "DUPLICATE")</f>
        <v/>
      </c>
      <c r="V59" s="18">
        <f>IF(AND(B59&lt;&gt;"", F59&lt;&gt;""), "COMPLETE", "INCOMPLETE")</f>
        <v/>
      </c>
    </row>
    <row r="60">
      <c r="A60" s="17" t="inlineStr">
        <is>
          <t>Q-056</t>
        </is>
      </c>
      <c r="B60" s="5" t="inlineStr">
        <is>
          <t>Best automated subtitle tool that exports clean SRT and VTT with timestamps</t>
        </is>
      </c>
      <c r="C60" s="5" t="inlineStr">
        <is>
          <t>Commercial</t>
        </is>
      </c>
      <c r="D60" s="5" t="inlineStr">
        <is>
          <t>Google Search Suggestions</t>
        </is>
      </c>
      <c r="E60" s="5" t="inlineStr">
        <is>
          <t>https://google.com/search?q=best+subtitle+tool+srt+vtt</t>
        </is>
      </c>
      <c r="F60" s="5" t="inlineStr">
        <is>
          <t>US</t>
        </is>
      </c>
      <c r="G60" s="17" t="inlineStr">
        <is>
          <t>&gt;10</t>
        </is>
      </c>
      <c r="H60" s="17" t="inlineStr">
        <is>
          <t>Yes (Quotes runwayml.com)</t>
        </is>
      </c>
      <c r="I60" s="17" t="inlineStr">
        <is>
          <t>https://pcmag.com/articles/ai-video-tools</t>
        </is>
      </c>
      <c r="J60" s="17" t="inlineStr">
        <is>
          <t>Not mentioned</t>
        </is>
      </c>
      <c r="K60" s="17" t="inlineStr">
        <is>
          <t>Not mentioned</t>
        </is>
      </c>
      <c r="L60" s="17" t="inlineStr">
        <is>
          <t>Not cited</t>
        </is>
      </c>
      <c r="M60" s="17" t="inlineStr">
        <is>
          <t>Not mentioned</t>
        </is>
      </c>
      <c r="N60" s="17" t="inlineStr">
        <is>
          <t>Runway, Descript, InVideo</t>
        </is>
      </c>
      <c r="O60" s="17" t="inlineStr">
        <is>
          <t>2026-10-21</t>
        </is>
      </c>
      <c r="P60" s="17" t="inlineStr">
        <is>
          <t>2026-10-23</t>
        </is>
      </c>
      <c r="Q60" s="17" t="inlineStr">
        <is>
          <t>No change</t>
        </is>
      </c>
      <c r="R60" s="17" t="inlineStr">
        <is>
          <t>visibility/raw_answers/sample_raw_answers_audit.json#Q-056</t>
        </is>
      </c>
      <c r="S60" s="17" t="inlineStr">
        <is>
          <t>Medium</t>
        </is>
      </c>
      <c r="T60" s="17" t="inlineStr">
        <is>
          <t>Location verified: Austin, TX</t>
        </is>
      </c>
      <c r="U60" s="18">
        <f>IF(COUNTIF(A$5:A$104, A60)=1, "UNIQUE", "DUPLICATE")</f>
        <v/>
      </c>
      <c r="V60" s="18">
        <f>IF(AND(B60&lt;&gt;"", F60&lt;&gt;""), "COMPLETE", "INCOMPLETE")</f>
        <v/>
      </c>
    </row>
    <row r="61">
      <c r="A61" s="17" t="inlineStr">
        <is>
          <t>Q-057</t>
        </is>
      </c>
      <c r="B61" s="5" t="inlineStr">
        <is>
          <t>How to automatically sync translated voiceovers with speaker lip movements</t>
        </is>
      </c>
      <c r="C61" s="5" t="inlineStr">
        <is>
          <t>Informational</t>
        </is>
      </c>
      <c r="D61" s="5" t="inlineStr">
        <is>
          <t>Google People Also Ask</t>
        </is>
      </c>
      <c r="E61" s="5" t="inlineStr">
        <is>
          <t>https://google.com/search?q=ai+lip+sync+dubbing</t>
        </is>
      </c>
      <c r="F61" s="5" t="inlineStr">
        <is>
          <t>US</t>
        </is>
      </c>
      <c r="G61" s="17" t="inlineStr">
        <is>
          <t>&gt;10</t>
        </is>
      </c>
      <c r="H61" s="17" t="inlineStr">
        <is>
          <t>No</t>
        </is>
      </c>
      <c r="I61" s="17" t="inlineStr">
        <is>
          <t>https://g2.com/categories/video-editing</t>
        </is>
      </c>
      <c r="J61" s="17" t="inlineStr">
        <is>
          <t>Not mentioned</t>
        </is>
      </c>
      <c r="K61" s="17" t="inlineStr">
        <is>
          <t>Not mentioned</t>
        </is>
      </c>
      <c r="L61" s="17" t="inlineStr">
        <is>
          <t>Not cited</t>
        </is>
      </c>
      <c r="M61" s="17" t="inlineStr">
        <is>
          <t>Not mentioned</t>
        </is>
      </c>
      <c r="N61" s="17" t="inlineStr">
        <is>
          <t>Runway, Descript, InVideo</t>
        </is>
      </c>
      <c r="O61" s="17" t="inlineStr">
        <is>
          <t>2026-10-21</t>
        </is>
      </c>
      <c r="P61" s="17" t="inlineStr">
        <is>
          <t>2026-10-23</t>
        </is>
      </c>
      <c r="Q61" s="17" t="inlineStr">
        <is>
          <t>No change</t>
        </is>
      </c>
      <c r="R61" s="17" t="inlineStr">
        <is>
          <t>visibility/raw_answers/sample_raw_answers_audit.json#Q-057</t>
        </is>
      </c>
      <c r="S61" s="17" t="inlineStr">
        <is>
          <t>Medium</t>
        </is>
      </c>
      <c r="T61" s="17" t="inlineStr">
        <is>
          <t>Location verified: Seattle, WA</t>
        </is>
      </c>
      <c r="U61" s="18">
        <f>IF(COUNTIF(A$5:A$104, A61)=1, "UNIQUE", "DUPLICATE")</f>
        <v/>
      </c>
      <c r="V61" s="18">
        <f>IF(AND(B61&lt;&gt;"", F61&lt;&gt;""), "COMPLETE", "INCOMPLETE")</f>
        <v/>
      </c>
    </row>
    <row r="62">
      <c r="A62" s="17" t="inlineStr">
        <is>
          <t>Q-058</t>
        </is>
      </c>
      <c r="B62" s="5" t="inlineStr">
        <is>
          <t>What are the best caption styles for increasing short-form video retention?</t>
        </is>
      </c>
      <c r="C62" s="5" t="inlineStr">
        <is>
          <t>Informational</t>
        </is>
      </c>
      <c r="D62" s="5" t="inlineStr">
        <is>
          <t>Substack Creator Weekly</t>
        </is>
      </c>
      <c r="E62" s="5" t="inlineStr">
        <is>
          <t>https://creatorweekly.substack.com/p/caption-retention-data</t>
        </is>
      </c>
      <c r="F62" s="5" t="inlineStr">
        <is>
          <t>US</t>
        </is>
      </c>
      <c r="G62" s="17" t="inlineStr">
        <is>
          <t>&gt;10</t>
        </is>
      </c>
      <c r="H62" s="17" t="inlineStr">
        <is>
          <t>No</t>
        </is>
      </c>
      <c r="I62" s="17" t="inlineStr">
        <is>
          <t>https://pcmag.com/articles/ai-video-tools</t>
        </is>
      </c>
      <c r="J62" s="17" t="inlineStr">
        <is>
          <t>Not mentioned</t>
        </is>
      </c>
      <c r="K62" s="17" t="inlineStr">
        <is>
          <t>Not mentioned</t>
        </is>
      </c>
      <c r="L62" s="17" t="inlineStr">
        <is>
          <t>Not cited</t>
        </is>
      </c>
      <c r="M62" s="17" t="inlineStr">
        <is>
          <t>Not mentioned</t>
        </is>
      </c>
      <c r="N62" s="17" t="inlineStr">
        <is>
          <t>Opus Clip, Klap, Veed</t>
        </is>
      </c>
      <c r="O62" s="17" t="inlineStr">
        <is>
          <t>2026-10-21</t>
        </is>
      </c>
      <c r="P62" s="17" t="inlineStr">
        <is>
          <t>2026-10-23</t>
        </is>
      </c>
      <c r="Q62" s="17" t="inlineStr">
        <is>
          <t>No change</t>
        </is>
      </c>
      <c r="R62" s="17" t="inlineStr">
        <is>
          <t>visibility/raw_answers/sample_raw_answers_audit.json#Q-058</t>
        </is>
      </c>
      <c r="S62" s="17" t="inlineStr">
        <is>
          <t>Medium</t>
        </is>
      </c>
      <c r="T62" s="17" t="inlineStr">
        <is>
          <t>Location verified: Chicago, IL</t>
        </is>
      </c>
      <c r="U62" s="18">
        <f>IF(COUNTIF(A$5:A$104, A62)=1, "UNIQUE", "DUPLICATE")</f>
        <v/>
      </c>
      <c r="V62" s="18">
        <f>IF(AND(B62&lt;&gt;"", F62&lt;&gt;""), "COMPLETE", "INCOMPLETE")</f>
        <v/>
      </c>
    </row>
    <row r="63">
      <c r="A63" s="17" t="inlineStr">
        <is>
          <t>Q-059</t>
        </is>
      </c>
      <c r="B63" s="5" t="inlineStr">
        <is>
          <t>How to auto-detect profanity and bleep sensitive words in video subtitles</t>
        </is>
      </c>
      <c r="C63" s="5" t="inlineStr">
        <is>
          <t>Informational</t>
        </is>
      </c>
      <c r="D63" s="5" t="inlineStr">
        <is>
          <t>Reddit r/VideoEditing</t>
        </is>
      </c>
      <c r="E63" s="5" t="inlineStr">
        <is>
          <t>https://reddit.com/r/VideoEditing/comments/profanity_bleep</t>
        </is>
      </c>
      <c r="F63" s="5" t="inlineStr">
        <is>
          <t>UK</t>
        </is>
      </c>
      <c r="G63" s="17" t="inlineStr">
        <is>
          <t>&gt;10</t>
        </is>
      </c>
      <c r="H63" s="17" t="inlineStr">
        <is>
          <t>No</t>
        </is>
      </c>
      <c r="I63" s="17" t="inlineStr">
        <is>
          <t>https://g2.com/categories/video-editing</t>
        </is>
      </c>
      <c r="J63" s="17" t="inlineStr">
        <is>
          <t>Not mentioned</t>
        </is>
      </c>
      <c r="K63" s="17" t="inlineStr">
        <is>
          <t>Not mentioned</t>
        </is>
      </c>
      <c r="L63" s="17" t="inlineStr">
        <is>
          <t>Not cited</t>
        </is>
      </c>
      <c r="M63" s="17" t="inlineStr">
        <is>
          <t>Not mentioned</t>
        </is>
      </c>
      <c r="N63" s="17" t="inlineStr">
        <is>
          <t>Runway, Descript, InVideo</t>
        </is>
      </c>
      <c r="O63" s="17" t="inlineStr">
        <is>
          <t>2026-10-21</t>
        </is>
      </c>
      <c r="P63" s="17" t="inlineStr">
        <is>
          <t>2026-10-23</t>
        </is>
      </c>
      <c r="Q63" s="17" t="inlineStr">
        <is>
          <t>No change</t>
        </is>
      </c>
      <c r="R63" s="17" t="inlineStr">
        <is>
          <t>visibility/raw_answers/sample_raw_answers_audit.json#Q-059</t>
        </is>
      </c>
      <c r="S63" s="17" t="inlineStr">
        <is>
          <t>Medium</t>
        </is>
      </c>
      <c r="T63" s="17" t="inlineStr">
        <is>
          <t>Location verified: London, UK</t>
        </is>
      </c>
      <c r="U63" s="18">
        <f>IF(COUNTIF(A$5:A$104, A63)=1, "UNIQUE", "DUPLICATE")</f>
        <v/>
      </c>
      <c r="V63" s="18">
        <f>IF(AND(B63&lt;&gt;"", F63&lt;&gt;""), "COMPLETE", "INCOMPLETE")</f>
        <v/>
      </c>
    </row>
    <row r="64">
      <c r="A64" s="17" t="inlineStr">
        <is>
          <t>Q-060</t>
        </is>
      </c>
      <c r="B64" s="5" t="inlineStr">
        <is>
          <t>Free captioning tools for Indian YouTube creators with multi-language support</t>
        </is>
      </c>
      <c r="C64" s="5" t="inlineStr">
        <is>
          <t>Commercial</t>
        </is>
      </c>
      <c r="D64" s="5" t="inlineStr">
        <is>
          <t>Google Search Suggestions</t>
        </is>
      </c>
      <c r="E64" s="5" t="inlineStr">
        <is>
          <t>https://google.com/search?q=free+captioning+indian+creators</t>
        </is>
      </c>
      <c r="F64" s="5" t="inlineStr">
        <is>
          <t>IN</t>
        </is>
      </c>
      <c r="G64" s="17" t="inlineStr">
        <is>
          <t>&gt;10</t>
        </is>
      </c>
      <c r="H64" s="17" t="inlineStr">
        <is>
          <t>Yes (Quotes runwayml.com)</t>
        </is>
      </c>
      <c r="I64" s="17" t="inlineStr">
        <is>
          <t>https://pcmag.com/articles/ai-video-tools</t>
        </is>
      </c>
      <c r="J64" s="17" t="inlineStr">
        <is>
          <t>Not mentioned</t>
        </is>
      </c>
      <c r="K64" s="17" t="inlineStr">
        <is>
          <t>Not mentioned</t>
        </is>
      </c>
      <c r="L64" s="17" t="inlineStr">
        <is>
          <t>Not cited</t>
        </is>
      </c>
      <c r="M64" s="17" t="inlineStr">
        <is>
          <t>Not mentioned</t>
        </is>
      </c>
      <c r="N64" s="17" t="inlineStr">
        <is>
          <t>Runway, Descript, InVideo</t>
        </is>
      </c>
      <c r="O64" s="17" t="inlineStr">
        <is>
          <t>2026-10-21</t>
        </is>
      </c>
      <c r="P64" s="17" t="inlineStr">
        <is>
          <t>2026-10-23</t>
        </is>
      </c>
      <c r="Q64" s="17" t="inlineStr">
        <is>
          <t>No change</t>
        </is>
      </c>
      <c r="R64" s="17" t="inlineStr">
        <is>
          <t>visibility/raw_answers/sample_raw_answers_audit.json#Q-060</t>
        </is>
      </c>
      <c r="S64" s="17" t="inlineStr">
        <is>
          <t>Medium</t>
        </is>
      </c>
      <c r="T64" s="17" t="inlineStr">
        <is>
          <t>Location verified: Chennai, IN</t>
        </is>
      </c>
      <c r="U64" s="18">
        <f>IF(COUNTIF(A$5:A$104, A64)=1, "UNIQUE", "DUPLICATE")</f>
        <v/>
      </c>
      <c r="V64" s="18">
        <f>IF(AND(B64&lt;&gt;"", F64&lt;&gt;""), "COMPLETE", "INCOMPLETE")</f>
        <v/>
      </c>
    </row>
    <row r="65">
      <c r="A65" s="17" t="inlineStr">
        <is>
          <t>Q-061</t>
        </is>
      </c>
      <c r="B65" s="5" t="inlineStr">
        <is>
          <t>How to format multi-speaker interview captions with distinct color badges</t>
        </is>
      </c>
      <c r="C65" s="5" t="inlineStr">
        <is>
          <t>Informational</t>
        </is>
      </c>
      <c r="D65" s="5" t="inlineStr">
        <is>
          <t>Google People Also Ask</t>
        </is>
      </c>
      <c r="E65" s="5" t="inlineStr">
        <is>
          <t>https://google.com/search?q=multi+speaker+interview+captions</t>
        </is>
      </c>
      <c r="F65" s="5" t="inlineStr">
        <is>
          <t>US</t>
        </is>
      </c>
      <c r="G65" s="17" t="inlineStr">
        <is>
          <t>&gt;10</t>
        </is>
      </c>
      <c r="H65" s="17" t="inlineStr">
        <is>
          <t>No</t>
        </is>
      </c>
      <c r="I65" s="17" t="inlineStr">
        <is>
          <t>https://g2.com/categories/video-editing</t>
        </is>
      </c>
      <c r="J65" s="17" t="inlineStr">
        <is>
          <t>Not mentioned</t>
        </is>
      </c>
      <c r="K65" s="17" t="inlineStr">
        <is>
          <t>Not mentioned</t>
        </is>
      </c>
      <c r="L65" s="17" t="inlineStr">
        <is>
          <t>Not cited</t>
        </is>
      </c>
      <c r="M65" s="17" t="inlineStr">
        <is>
          <t>Not mentioned</t>
        </is>
      </c>
      <c r="N65" s="17" t="inlineStr">
        <is>
          <t>Runway, Descript, InVideo</t>
        </is>
      </c>
      <c r="O65" s="17" t="inlineStr">
        <is>
          <t>2026-10-21</t>
        </is>
      </c>
      <c r="P65" s="17" t="inlineStr">
        <is>
          <t>2026-10-23</t>
        </is>
      </c>
      <c r="Q65" s="17" t="inlineStr">
        <is>
          <t>No change</t>
        </is>
      </c>
      <c r="R65" s="17" t="inlineStr">
        <is>
          <t>visibility/raw_answers/sample_raw_answers_audit.json#Q-061</t>
        </is>
      </c>
      <c r="S65" s="17" t="inlineStr">
        <is>
          <t>Medium</t>
        </is>
      </c>
      <c r="T65" s="17" t="inlineStr">
        <is>
          <t>Location verified: Boston, MA</t>
        </is>
      </c>
      <c r="U65" s="18">
        <f>IF(COUNTIF(A$5:A$104, A65)=1, "UNIQUE", "DUPLICATE")</f>
        <v/>
      </c>
      <c r="V65" s="18">
        <f>IF(AND(B65&lt;&gt;"", F65&lt;&gt;""), "COMPLETE", "INCOMPLETE")</f>
        <v/>
      </c>
    </row>
    <row r="66">
      <c r="A66" s="17" t="inlineStr">
        <is>
          <t>Q-062</t>
        </is>
      </c>
      <c r="B66" s="5" t="inlineStr">
        <is>
          <t>How to fix out-of-sync audio subtitles when exporting 60fps video</t>
        </is>
      </c>
      <c r="C66" s="5" t="inlineStr">
        <is>
          <t>Informational</t>
        </is>
      </c>
      <c r="D66" s="5" t="inlineStr">
        <is>
          <t>Reddit r/premiere</t>
        </is>
      </c>
      <c r="E66" s="5" t="inlineStr">
        <is>
          <t>https://reddit.com/r/premiere/comments/out_of_sync_subtitles</t>
        </is>
      </c>
      <c r="F66" s="5" t="inlineStr">
        <is>
          <t>US</t>
        </is>
      </c>
      <c r="G66" s="17" t="inlineStr">
        <is>
          <t>&gt;10</t>
        </is>
      </c>
      <c r="H66" s="17" t="inlineStr">
        <is>
          <t>No</t>
        </is>
      </c>
      <c r="I66" s="17" t="inlineStr">
        <is>
          <t>https://pcmag.com/articles/ai-video-tools</t>
        </is>
      </c>
      <c r="J66" s="17" t="inlineStr">
        <is>
          <t>Not mentioned</t>
        </is>
      </c>
      <c r="K66" s="17" t="inlineStr">
        <is>
          <t>Not mentioned</t>
        </is>
      </c>
      <c r="L66" s="17" t="inlineStr">
        <is>
          <t>Not cited</t>
        </is>
      </c>
      <c r="M66" s="17" t="inlineStr">
        <is>
          <t>Not mentioned</t>
        </is>
      </c>
      <c r="N66" s="17" t="inlineStr">
        <is>
          <t>Runway, Descript, InVideo</t>
        </is>
      </c>
      <c r="O66" s="17" t="inlineStr">
        <is>
          <t>2026-10-21</t>
        </is>
      </c>
      <c r="P66" s="17" t="inlineStr">
        <is>
          <t>2026-10-23</t>
        </is>
      </c>
      <c r="Q66" s="17" t="inlineStr">
        <is>
          <t>No change</t>
        </is>
      </c>
      <c r="R66" s="17" t="inlineStr">
        <is>
          <t>visibility/raw_answers/sample_raw_answers_audit.json#Q-062</t>
        </is>
      </c>
      <c r="S66" s="17" t="inlineStr">
        <is>
          <t>Medium</t>
        </is>
      </c>
      <c r="T66" s="17" t="inlineStr">
        <is>
          <t>Location verified: Denver, CO</t>
        </is>
      </c>
      <c r="U66" s="18">
        <f>IF(COUNTIF(A$5:A$104, A66)=1, "UNIQUE", "DUPLICATE")</f>
        <v/>
      </c>
      <c r="V66" s="18">
        <f>IF(AND(B66&lt;&gt;"", F66&lt;&gt;""), "COMPLETE", "INCOMPLETE")</f>
        <v/>
      </c>
    </row>
    <row r="67">
      <c r="A67" s="17" t="inlineStr">
        <is>
          <t>Q-063</t>
        </is>
      </c>
      <c r="B67" s="5" t="inlineStr">
        <is>
          <t>Best AI voice clone tools for translating creator tutorials into French</t>
        </is>
      </c>
      <c r="C67" s="5" t="inlineStr">
        <is>
          <t>Commercial</t>
        </is>
      </c>
      <c r="D67" s="5" t="inlineStr">
        <is>
          <t>Quora</t>
        </is>
      </c>
      <c r="E67" s="5" t="inlineStr">
        <is>
          <t>https://quora.com/voice-clone-translation-french</t>
        </is>
      </c>
      <c r="F67" s="5" t="inlineStr">
        <is>
          <t>UK</t>
        </is>
      </c>
      <c r="G67" s="17" t="inlineStr">
        <is>
          <t>&gt;10</t>
        </is>
      </c>
      <c r="H67" s="17" t="inlineStr">
        <is>
          <t>No</t>
        </is>
      </c>
      <c r="I67" s="17" t="inlineStr">
        <is>
          <t>https://g2.com/categories/video-editing</t>
        </is>
      </c>
      <c r="J67" s="17" t="inlineStr">
        <is>
          <t>Not mentioned</t>
        </is>
      </c>
      <c r="K67" s="17" t="inlineStr">
        <is>
          <t>Not mentioned</t>
        </is>
      </c>
      <c r="L67" s="17" t="inlineStr">
        <is>
          <t>Not cited</t>
        </is>
      </c>
      <c r="M67" s="17" t="inlineStr">
        <is>
          <t>Not mentioned</t>
        </is>
      </c>
      <c r="N67" s="17" t="inlineStr">
        <is>
          <t>Runway, Descript, InVideo</t>
        </is>
      </c>
      <c r="O67" s="17" t="inlineStr">
        <is>
          <t>2026-10-21</t>
        </is>
      </c>
      <c r="P67" s="17" t="inlineStr">
        <is>
          <t>2026-10-23</t>
        </is>
      </c>
      <c r="Q67" s="17" t="inlineStr">
        <is>
          <t>No change</t>
        </is>
      </c>
      <c r="R67" s="17" t="inlineStr">
        <is>
          <t>visibility/raw_answers/sample_raw_answers_audit.json#Q-063</t>
        </is>
      </c>
      <c r="S67" s="17" t="inlineStr">
        <is>
          <t>Medium</t>
        </is>
      </c>
      <c r="T67" s="17" t="inlineStr">
        <is>
          <t>Location verified: Manchester, UK</t>
        </is>
      </c>
      <c r="U67" s="18">
        <f>IF(COUNTIF(A$5:A$104, A67)=1, "UNIQUE", "DUPLICATE")</f>
        <v/>
      </c>
      <c r="V67" s="18">
        <f>IF(AND(B67&lt;&gt;"", F67&lt;&gt;""), "COMPLETE", "INCOMPLETE")</f>
        <v/>
      </c>
    </row>
    <row r="68">
      <c r="A68" s="17" t="inlineStr">
        <is>
          <t>Q-064</t>
        </is>
      </c>
      <c r="B68" s="5" t="inlineStr">
        <is>
          <t>Can AI transcribe technical programming terms without spelling errors?</t>
        </is>
      </c>
      <c r="C68" s="5" t="inlineStr">
        <is>
          <t>Informational</t>
        </is>
      </c>
      <c r="D68" s="5" t="inlineStr">
        <is>
          <t>Reddit r/programming</t>
        </is>
      </c>
      <c r="E68" s="5" t="inlineStr">
        <is>
          <t>https://reddit.com/r/programming/comments/transcribe_code</t>
        </is>
      </c>
      <c r="F68" s="5" t="inlineStr">
        <is>
          <t>US</t>
        </is>
      </c>
      <c r="G68" s="17" t="inlineStr">
        <is>
          <t>&gt;10</t>
        </is>
      </c>
      <c r="H68" s="17" t="inlineStr">
        <is>
          <t>Yes (Quotes runwayml.com)</t>
        </is>
      </c>
      <c r="I68" s="17" t="inlineStr">
        <is>
          <t>https://pcmag.com/articles/ai-video-tools</t>
        </is>
      </c>
      <c r="J68" s="17" t="inlineStr">
        <is>
          <t>Not mentioned</t>
        </is>
      </c>
      <c r="K68" s="17" t="inlineStr">
        <is>
          <t>Not mentioned</t>
        </is>
      </c>
      <c r="L68" s="17" t="inlineStr">
        <is>
          <t>Not cited</t>
        </is>
      </c>
      <c r="M68" s="17" t="inlineStr">
        <is>
          <t>Not mentioned</t>
        </is>
      </c>
      <c r="N68" s="17" t="inlineStr">
        <is>
          <t>Runway, Descript, InVideo</t>
        </is>
      </c>
      <c r="O68" s="17" t="inlineStr">
        <is>
          <t>2026-10-21</t>
        </is>
      </c>
      <c r="P68" s="17" t="inlineStr">
        <is>
          <t>2026-10-23</t>
        </is>
      </c>
      <c r="Q68" s="17" t="inlineStr">
        <is>
          <t>No change</t>
        </is>
      </c>
      <c r="R68" s="17" t="inlineStr">
        <is>
          <t>visibility/raw_answers/sample_raw_answers_audit.json#Q-064</t>
        </is>
      </c>
      <c r="S68" s="17" t="inlineStr">
        <is>
          <t>Medium</t>
        </is>
      </c>
      <c r="T68" s="17" t="inlineStr">
        <is>
          <t>Location verified: San Jose, CA</t>
        </is>
      </c>
      <c r="U68" s="18">
        <f>IF(COUNTIF(A$5:A$104, A68)=1, "UNIQUE", "DUPLICATE")</f>
        <v/>
      </c>
      <c r="V68" s="18">
        <f>IF(AND(B68&lt;&gt;"", F68&lt;&gt;""), "COMPLETE", "INCOMPLETE")</f>
        <v/>
      </c>
    </row>
    <row r="69">
      <c r="A69" s="17" t="inlineStr">
        <is>
          <t>Q-065</t>
        </is>
      </c>
      <c r="B69" s="5" t="inlineStr">
        <is>
          <t>How to auto-generate subtitles for 100 YouTube videos in batch mode</t>
        </is>
      </c>
      <c r="C69" s="5" t="inlineStr">
        <is>
          <t>Informational</t>
        </is>
      </c>
      <c r="D69" s="5" t="inlineStr">
        <is>
          <t>Google Search Suggestions</t>
        </is>
      </c>
      <c r="E69" s="5" t="inlineStr">
        <is>
          <t>https://google.com/search?q=batch+subtitle+generation+youtube</t>
        </is>
      </c>
      <c r="F69" s="5" t="inlineStr">
        <is>
          <t>IN</t>
        </is>
      </c>
      <c r="G69" s="17" t="inlineStr">
        <is>
          <t>&gt;10</t>
        </is>
      </c>
      <c r="H69" s="17" t="inlineStr">
        <is>
          <t>No</t>
        </is>
      </c>
      <c r="I69" s="17" t="inlineStr">
        <is>
          <t>https://g2.com/categories/video-editing</t>
        </is>
      </c>
      <c r="J69" s="17" t="inlineStr">
        <is>
          <t>Not mentioned</t>
        </is>
      </c>
      <c r="K69" s="17" t="inlineStr">
        <is>
          <t>Not mentioned</t>
        </is>
      </c>
      <c r="L69" s="17" t="inlineStr">
        <is>
          <t>Not cited</t>
        </is>
      </c>
      <c r="M69" s="17" t="inlineStr">
        <is>
          <t>Not mentioned</t>
        </is>
      </c>
      <c r="N69" s="17" t="inlineStr">
        <is>
          <t>Runway, Descript, InVideo</t>
        </is>
      </c>
      <c r="O69" s="17" t="inlineStr">
        <is>
          <t>2026-10-21</t>
        </is>
      </c>
      <c r="P69" s="17" t="inlineStr">
        <is>
          <t>2026-10-23</t>
        </is>
      </c>
      <c r="Q69" s="17" t="inlineStr">
        <is>
          <t>No change</t>
        </is>
      </c>
      <c r="R69" s="17" t="inlineStr">
        <is>
          <t>visibility/raw_answers/sample_raw_answers_audit.json#Q-065</t>
        </is>
      </c>
      <c r="S69" s="17" t="inlineStr">
        <is>
          <t>Medium</t>
        </is>
      </c>
      <c r="T69" s="17" t="inlineStr">
        <is>
          <t>Location verified: Bengaluru, IN</t>
        </is>
      </c>
      <c r="U69" s="18">
        <f>IF(COUNTIF(A$5:A$104, A69)=1, "UNIQUE", "DUPLICATE")</f>
        <v/>
      </c>
      <c r="V69" s="18">
        <f>IF(AND(B69&lt;&gt;"", F69&lt;&gt;""), "COMPLETE", "INCOMPLETE")</f>
        <v/>
      </c>
    </row>
    <row r="70">
      <c r="A70" s="17" t="inlineStr">
        <is>
          <t>Q-066</t>
        </is>
      </c>
      <c r="B70" s="5" t="inlineStr">
        <is>
          <t>Descript vs CapCut for automatic b-roll: which is better in 2026?</t>
        </is>
      </c>
      <c r="C70" s="5" t="inlineStr">
        <is>
          <t>Commercial</t>
        </is>
      </c>
      <c r="D70" s="5" t="inlineStr">
        <is>
          <t>Google Search Suggestions</t>
        </is>
      </c>
      <c r="E70" s="5" t="inlineStr">
        <is>
          <t>https://google.com/search?q=descript+vs+capcut+broll</t>
        </is>
      </c>
      <c r="F70" s="5" t="inlineStr">
        <is>
          <t>US</t>
        </is>
      </c>
      <c r="G70" s="17" t="inlineStr">
        <is>
          <t>&gt;10</t>
        </is>
      </c>
      <c r="H70" s="17" t="inlineStr">
        <is>
          <t>No</t>
        </is>
      </c>
      <c r="I70" s="17" t="inlineStr">
        <is>
          <t>https://pcmag.com/articles/ai-video-tools</t>
        </is>
      </c>
      <c r="J70" s="17" t="inlineStr">
        <is>
          <t>Not mentioned</t>
        </is>
      </c>
      <c r="K70" s="17" t="inlineStr">
        <is>
          <t>Not mentioned</t>
        </is>
      </c>
      <c r="L70" s="17" t="inlineStr">
        <is>
          <t>Not cited</t>
        </is>
      </c>
      <c r="M70" s="17" t="inlineStr">
        <is>
          <t>Not mentioned</t>
        </is>
      </c>
      <c r="N70" s="17" t="inlineStr">
        <is>
          <t>Descript, CapCut, Podcastle</t>
        </is>
      </c>
      <c r="O70" s="17" t="inlineStr">
        <is>
          <t>2026-10-21</t>
        </is>
      </c>
      <c r="P70" s="17" t="inlineStr">
        <is>
          <t>2026-10-23</t>
        </is>
      </c>
      <c r="Q70" s="17" t="inlineStr">
        <is>
          <t>No change</t>
        </is>
      </c>
      <c r="R70" s="17" t="inlineStr">
        <is>
          <t>visibility/raw_answers/sample_raw_answers_audit.json#Q-066</t>
        </is>
      </c>
      <c r="S70" s="17" t="inlineStr">
        <is>
          <t>Medium</t>
        </is>
      </c>
      <c r="T70" s="17" t="inlineStr">
        <is>
          <t>Location verified: New York, NY</t>
        </is>
      </c>
      <c r="U70" s="18">
        <f>IF(COUNTIF(A$5:A$104, A70)=1, "UNIQUE", "DUPLICATE")</f>
        <v/>
      </c>
      <c r="V70" s="18">
        <f>IF(AND(B70&lt;&gt;"", F70&lt;&gt;""), "COMPLETE", "INCOMPLETE")</f>
        <v/>
      </c>
    </row>
    <row r="71">
      <c r="A71" s="17" t="inlineStr">
        <is>
          <t>Q-067</t>
        </is>
      </c>
      <c r="B71" s="5" t="inlineStr">
        <is>
          <t>Runway Gen-2 vs Pika vs Sora: best text-to-video tool for creators</t>
        </is>
      </c>
      <c r="C71" s="5" t="inlineStr">
        <is>
          <t>Commercial</t>
        </is>
      </c>
      <c r="D71" s="5" t="inlineStr">
        <is>
          <t>Reddit r/artificial</t>
        </is>
      </c>
      <c r="E71" s="5" t="inlineStr">
        <is>
          <t>https://reddit.com/r/artificial/comments/runway_vs_pika</t>
        </is>
      </c>
      <c r="F71" s="5" t="inlineStr">
        <is>
          <t>US</t>
        </is>
      </c>
      <c r="G71" s="17" t="inlineStr">
        <is>
          <t>&gt;10</t>
        </is>
      </c>
      <c r="H71" s="17" t="inlineStr">
        <is>
          <t>No</t>
        </is>
      </c>
      <c r="I71" s="17" t="inlineStr">
        <is>
          <t>https://g2.com/categories/video-editing</t>
        </is>
      </c>
      <c r="J71" s="17" t="inlineStr">
        <is>
          <t>Not mentioned</t>
        </is>
      </c>
      <c r="K71" s="17" t="inlineStr">
        <is>
          <t>Not mentioned</t>
        </is>
      </c>
      <c r="L71" s="17" t="inlineStr">
        <is>
          <t>Not cited</t>
        </is>
      </c>
      <c r="M71" s="17" t="inlineStr">
        <is>
          <t>Not mentioned</t>
        </is>
      </c>
      <c r="N71" s="17" t="inlineStr">
        <is>
          <t>Runway, Descript, InVideo</t>
        </is>
      </c>
      <c r="O71" s="17" t="inlineStr">
        <is>
          <t>2026-10-21</t>
        </is>
      </c>
      <c r="P71" s="17" t="inlineStr">
        <is>
          <t>2026-10-23</t>
        </is>
      </c>
      <c r="Q71" s="17" t="inlineStr">
        <is>
          <t>No change</t>
        </is>
      </c>
      <c r="R71" s="17" t="inlineStr">
        <is>
          <t>visibility/raw_answers/sample_raw_answers_audit.json#Q-067</t>
        </is>
      </c>
      <c r="S71" s="17" t="inlineStr">
        <is>
          <t>Medium</t>
        </is>
      </c>
      <c r="T71" s="17" t="inlineStr">
        <is>
          <t>Location verified: San Francisco, CA</t>
        </is>
      </c>
      <c r="U71" s="18">
        <f>IF(COUNTIF(A$5:A$104, A71)=1, "UNIQUE", "DUPLICATE")</f>
        <v/>
      </c>
      <c r="V71" s="18">
        <f>IF(AND(B71&lt;&gt;"", F71&lt;&gt;""), "COMPLETE", "INCOMPLETE")</f>
        <v/>
      </c>
    </row>
    <row r="72">
      <c r="A72" s="17" t="inlineStr">
        <is>
          <t>Q-068</t>
        </is>
      </c>
      <c r="B72" s="5" t="inlineStr">
        <is>
          <t>IncuBrix vs InVideo: which has better automated script-to-broll matching?</t>
        </is>
      </c>
      <c r="C72" s="5" t="inlineStr">
        <is>
          <t>Commercial</t>
        </is>
      </c>
      <c r="D72" s="5" t="inlineStr">
        <is>
          <t>Google Search Suggestions</t>
        </is>
      </c>
      <c r="E72" s="5" t="inlineStr">
        <is>
          <t>https://google.com/search?q=incubrix+vs+invideo</t>
        </is>
      </c>
      <c r="F72" s="5" t="inlineStr">
        <is>
          <t>US</t>
        </is>
      </c>
      <c r="G72" s="17" t="inlineStr">
        <is>
          <t>&gt;10</t>
        </is>
      </c>
      <c r="H72" s="17" t="inlineStr">
        <is>
          <t>Yes (Quotes runwayml.com)</t>
        </is>
      </c>
      <c r="I72" s="17" t="inlineStr">
        <is>
          <t>https://pcmag.com/articles/ai-video-tools</t>
        </is>
      </c>
      <c r="J72" s="17" t="inlineStr">
        <is>
          <t>Not mentioned</t>
        </is>
      </c>
      <c r="K72" s="17" t="inlineStr">
        <is>
          <t>Not mentioned</t>
        </is>
      </c>
      <c r="L72" s="17" t="inlineStr">
        <is>
          <t>Not cited</t>
        </is>
      </c>
      <c r="M72" s="17" t="inlineStr">
        <is>
          <t>Not mentioned</t>
        </is>
      </c>
      <c r="N72" s="17" t="inlineStr">
        <is>
          <t>Runway, Descript, InVideo</t>
        </is>
      </c>
      <c r="O72" s="17" t="inlineStr">
        <is>
          <t>2026-10-21</t>
        </is>
      </c>
      <c r="P72" s="17" t="inlineStr">
        <is>
          <t>2026-10-23</t>
        </is>
      </c>
      <c r="Q72" s="17" t="inlineStr">
        <is>
          <t>No change</t>
        </is>
      </c>
      <c r="R72" s="17" t="inlineStr">
        <is>
          <t>visibility/raw_answers/sample_raw_answers_audit.json#Q-068</t>
        </is>
      </c>
      <c r="S72" s="17" t="inlineStr">
        <is>
          <t>Medium</t>
        </is>
      </c>
      <c r="T72" s="17" t="inlineStr">
        <is>
          <t>Location verified: Los Angeles, CA</t>
        </is>
      </c>
      <c r="U72" s="18">
        <f>IF(COUNTIF(A$5:A$104, A72)=1, "UNIQUE", "DUPLICATE")</f>
        <v/>
      </c>
      <c r="V72" s="18">
        <f>IF(AND(B72&lt;&gt;"", F72&lt;&gt;""), "COMPLETE", "INCOMPLETE")</f>
        <v/>
      </c>
    </row>
    <row r="73">
      <c r="A73" s="17" t="inlineStr">
        <is>
          <t>Q-069</t>
        </is>
      </c>
      <c r="B73" s="5" t="inlineStr">
        <is>
          <t>CapCut vs Opus Clip: best tool for auto-generating viral TikTok shorts</t>
        </is>
      </c>
      <c r="C73" s="5" t="inlineStr">
        <is>
          <t>Commercial</t>
        </is>
      </c>
      <c r="D73" s="5" t="inlineStr">
        <is>
          <t>YouTube Creator Community</t>
        </is>
      </c>
      <c r="E73" s="5" t="inlineStr">
        <is>
          <t>https://youtube.com/watch?v=capcut-vs-opusclip</t>
        </is>
      </c>
      <c r="F73" s="5" t="inlineStr">
        <is>
          <t>UK</t>
        </is>
      </c>
      <c r="G73" s="17" t="inlineStr">
        <is>
          <t>&gt;10</t>
        </is>
      </c>
      <c r="H73" s="17" t="inlineStr">
        <is>
          <t>No</t>
        </is>
      </c>
      <c r="I73" s="17" t="inlineStr">
        <is>
          <t>https://g2.com/categories/video-editing</t>
        </is>
      </c>
      <c r="J73" s="17" t="inlineStr">
        <is>
          <t>Not mentioned</t>
        </is>
      </c>
      <c r="K73" s="17" t="inlineStr">
        <is>
          <t>Not mentioned</t>
        </is>
      </c>
      <c r="L73" s="17" t="inlineStr">
        <is>
          <t>Not cited</t>
        </is>
      </c>
      <c r="M73" s="17" t="inlineStr">
        <is>
          <t>Not mentioned</t>
        </is>
      </c>
      <c r="N73" s="17" t="inlineStr">
        <is>
          <t>Opus Clip, Klap, Veed</t>
        </is>
      </c>
      <c r="O73" s="17" t="inlineStr">
        <is>
          <t>2026-10-21</t>
        </is>
      </c>
      <c r="P73" s="17" t="inlineStr">
        <is>
          <t>2026-10-23</t>
        </is>
      </c>
      <c r="Q73" s="17" t="inlineStr">
        <is>
          <t>No change</t>
        </is>
      </c>
      <c r="R73" s="17" t="inlineStr">
        <is>
          <t>visibility/raw_answers/sample_raw_answers_audit.json#Q-069</t>
        </is>
      </c>
      <c r="S73" s="17" t="inlineStr">
        <is>
          <t>Medium</t>
        </is>
      </c>
      <c r="T73" s="17" t="inlineStr">
        <is>
          <t>Location verified: London, UK</t>
        </is>
      </c>
      <c r="U73" s="18">
        <f>IF(COUNTIF(A$5:A$104, A73)=1, "UNIQUE", "DUPLICATE")</f>
        <v/>
      </c>
      <c r="V73" s="18">
        <f>IF(AND(B73&lt;&gt;"", F73&lt;&gt;""), "COMPLETE", "INCOMPLETE")</f>
        <v/>
      </c>
    </row>
    <row r="74">
      <c r="A74" s="17" t="inlineStr">
        <is>
          <t>Q-070</t>
        </is>
      </c>
      <c r="B74" s="5" t="inlineStr">
        <is>
          <t>Best AI video generator for small business marketing on a budget</t>
        </is>
      </c>
      <c r="C74" s="5" t="inlineStr">
        <is>
          <t>Commercial</t>
        </is>
      </c>
      <c r="D74" s="5" t="inlineStr">
        <is>
          <t>Google Search Suggestions</t>
        </is>
      </c>
      <c r="E74" s="5" t="inlineStr">
        <is>
          <t>https://google.com/search?q=best+ai+video+generator+small+business</t>
        </is>
      </c>
      <c r="F74" s="5" t="inlineStr">
        <is>
          <t>US</t>
        </is>
      </c>
      <c r="G74" s="17" t="inlineStr">
        <is>
          <t>&gt;10</t>
        </is>
      </c>
      <c r="H74" s="17" t="inlineStr">
        <is>
          <t>No</t>
        </is>
      </c>
      <c r="I74" s="17" t="inlineStr">
        <is>
          <t>https://pcmag.com/articles/ai-video-tools</t>
        </is>
      </c>
      <c r="J74" s="17" t="inlineStr">
        <is>
          <t>Not mentioned</t>
        </is>
      </c>
      <c r="K74" s="17" t="inlineStr">
        <is>
          <t>Not mentioned</t>
        </is>
      </c>
      <c r="L74" s="17" t="inlineStr">
        <is>
          <t>Not cited</t>
        </is>
      </c>
      <c r="M74" s="17" t="inlineStr">
        <is>
          <t>Not mentioned</t>
        </is>
      </c>
      <c r="N74" s="17" t="inlineStr">
        <is>
          <t>Runway, Descript, InVideo</t>
        </is>
      </c>
      <c r="O74" s="17" t="inlineStr">
        <is>
          <t>2026-10-21</t>
        </is>
      </c>
      <c r="P74" s="17" t="inlineStr">
        <is>
          <t>2026-10-23</t>
        </is>
      </c>
      <c r="Q74" s="17" t="inlineStr">
        <is>
          <t>No change</t>
        </is>
      </c>
      <c r="R74" s="17" t="inlineStr">
        <is>
          <t>visibility/raw_answers/sample_raw_answers_audit.json#Q-070</t>
        </is>
      </c>
      <c r="S74" s="17" t="inlineStr">
        <is>
          <t>Medium</t>
        </is>
      </c>
      <c r="T74" s="17" t="inlineStr">
        <is>
          <t>Location verified: Austin, TX</t>
        </is>
      </c>
      <c r="U74" s="18">
        <f>IF(COUNTIF(A$5:A$104, A74)=1, "UNIQUE", "DUPLICATE")</f>
        <v/>
      </c>
      <c r="V74" s="18">
        <f>IF(AND(B74&lt;&gt;"", F74&lt;&gt;""), "COMPLETE", "INCOMPLETE")</f>
        <v/>
      </c>
    </row>
    <row r="75">
      <c r="A75" s="17" t="inlineStr">
        <is>
          <t>Q-071</t>
        </is>
      </c>
      <c r="B75" s="5" t="inlineStr">
        <is>
          <t>HeyGen vs Synthesia: which AI avatar platform has more realistic voice and gestures?</t>
        </is>
      </c>
      <c r="C75" s="5" t="inlineStr">
        <is>
          <t>Commercial</t>
        </is>
      </c>
      <c r="D75" s="5" t="inlineStr">
        <is>
          <t>Quora</t>
        </is>
      </c>
      <c r="E75" s="5" t="inlineStr">
        <is>
          <t>https://quora.com/heygen-vs-synthesia</t>
        </is>
      </c>
      <c r="F75" s="5" t="inlineStr">
        <is>
          <t>US</t>
        </is>
      </c>
      <c r="G75" s="17" t="inlineStr">
        <is>
          <t>#3</t>
        </is>
      </c>
      <c r="H75" s="17" t="inlineStr">
        <is>
          <t>Yes (Quotes runwayml.com)</t>
        </is>
      </c>
      <c r="I75" s="17" t="inlineStr">
        <is>
          <t>https://g2.com/categories/video-editing</t>
        </is>
      </c>
      <c r="J75" s="17" t="inlineStr">
        <is>
          <t>Mentioned (Text only)</t>
        </is>
      </c>
      <c r="K75" s="17" t="inlineStr">
        <is>
          <t>Not mentioned</t>
        </is>
      </c>
      <c r="L75" s="17" t="inlineStr">
        <is>
          <t>Cited with Link</t>
        </is>
      </c>
      <c r="M75" s="17" t="inlineStr">
        <is>
          <t>Not mentioned</t>
        </is>
      </c>
      <c r="N75" s="17" t="inlineStr">
        <is>
          <t>Runway, Descript, InVideo</t>
        </is>
      </c>
      <c r="O75" s="17" t="inlineStr">
        <is>
          <t>2026-10-21</t>
        </is>
      </c>
      <c r="P75" s="17" t="inlineStr">
        <is>
          <t>2026-10-23</t>
        </is>
      </c>
      <c r="Q75" s="17" t="inlineStr">
        <is>
          <t>Yes (Perplexity citation added)</t>
        </is>
      </c>
      <c r="R75" s="17" t="inlineStr">
        <is>
          <t>visibility/raw_answers/sample_raw_answers_audit.json#Q-071</t>
        </is>
      </c>
      <c r="S75" s="17" t="inlineStr">
        <is>
          <t>High</t>
        </is>
      </c>
      <c r="T75" s="17" t="inlineStr">
        <is>
          <t>Location verified: Chicago, IL</t>
        </is>
      </c>
      <c r="U75" s="18">
        <f>IF(COUNTIF(A$5:A$104, A75)=1, "UNIQUE", "DUPLICATE")</f>
        <v/>
      </c>
      <c r="V75" s="18">
        <f>IF(AND(B75&lt;&gt;"", F75&lt;&gt;""), "COMPLETE", "INCOMPLETE")</f>
        <v/>
      </c>
    </row>
    <row r="76">
      <c r="A76" s="17" t="inlineStr">
        <is>
          <t>Q-072</t>
        </is>
      </c>
      <c r="B76" s="5" t="inlineStr">
        <is>
          <t>Pictory vs IncuBrix: comparing script-to-video workflow and stock library quality</t>
        </is>
      </c>
      <c r="C76" s="5" t="inlineStr">
        <is>
          <t>Commercial</t>
        </is>
      </c>
      <c r="D76" s="5" t="inlineStr">
        <is>
          <t>Google Search Suggestions</t>
        </is>
      </c>
      <c r="E76" s="5" t="inlineStr">
        <is>
          <t>https://google.com/search?q=pictory+vs+incubrix</t>
        </is>
      </c>
      <c r="F76" s="5" t="inlineStr">
        <is>
          <t>US</t>
        </is>
      </c>
      <c r="G76" s="17" t="inlineStr">
        <is>
          <t>#3</t>
        </is>
      </c>
      <c r="H76" s="17" t="inlineStr">
        <is>
          <t>Yes (Quotes runwayml.com)</t>
        </is>
      </c>
      <c r="I76" s="17" t="inlineStr">
        <is>
          <t>https://pcmag.com/articles/ai-video-tools</t>
        </is>
      </c>
      <c r="J76" s="17" t="inlineStr">
        <is>
          <t>Mentioned (Text only)</t>
        </is>
      </c>
      <c r="K76" s="17" t="inlineStr">
        <is>
          <t>Not mentioned</t>
        </is>
      </c>
      <c r="L76" s="17" t="inlineStr">
        <is>
          <t>Cited with Link</t>
        </is>
      </c>
      <c r="M76" s="17" t="inlineStr">
        <is>
          <t>Not mentioned</t>
        </is>
      </c>
      <c r="N76" s="17" t="inlineStr">
        <is>
          <t>Runway, Descript, InVideo</t>
        </is>
      </c>
      <c r="O76" s="17" t="inlineStr">
        <is>
          <t>2026-10-21</t>
        </is>
      </c>
      <c r="P76" s="17" t="inlineStr">
        <is>
          <t>2026-10-23</t>
        </is>
      </c>
      <c r="Q76" s="17" t="inlineStr">
        <is>
          <t>Yes (Perplexity citation added)</t>
        </is>
      </c>
      <c r="R76" s="17" t="inlineStr">
        <is>
          <t>visibility/raw_answers/sample_raw_answers_audit.json#Q-072</t>
        </is>
      </c>
      <c r="S76" s="17" t="inlineStr">
        <is>
          <t>High</t>
        </is>
      </c>
      <c r="T76" s="17" t="inlineStr">
        <is>
          <t>Location verified: Seattle, WA</t>
        </is>
      </c>
      <c r="U76" s="18">
        <f>IF(COUNTIF(A$5:A$104, A76)=1, "UNIQUE", "DUPLICATE")</f>
        <v/>
      </c>
      <c r="V76" s="18">
        <f>IF(AND(B76&lt;&gt;"", F76&lt;&gt;""), "COMPLETE", "INCOMPLETE")</f>
        <v/>
      </c>
    </row>
    <row r="77">
      <c r="A77" s="17" t="inlineStr">
        <is>
          <t>Q-073</t>
        </is>
      </c>
      <c r="B77" s="5" t="inlineStr">
        <is>
          <t>Premiere Pro AI features vs DaVinci Resolve 19 Studio: creator comparison</t>
        </is>
      </c>
      <c r="C77" s="5" t="inlineStr">
        <is>
          <t>Commercial</t>
        </is>
      </c>
      <c r="D77" s="5" t="inlineStr">
        <is>
          <t>Reddit r/editors</t>
        </is>
      </c>
      <c r="E77" s="5" t="inlineStr">
        <is>
          <t>https://reddit.com/r/editors/comments/premiere_vs_davinci_ai</t>
        </is>
      </c>
      <c r="F77" s="5" t="inlineStr">
        <is>
          <t>UK</t>
        </is>
      </c>
      <c r="G77" s="17" t="inlineStr">
        <is>
          <t>#3</t>
        </is>
      </c>
      <c r="H77" s="17" t="inlineStr">
        <is>
          <t>Yes (Quotes runwayml.com)</t>
        </is>
      </c>
      <c r="I77" s="17" t="inlineStr">
        <is>
          <t>https://g2.com/categories/video-editing</t>
        </is>
      </c>
      <c r="J77" s="17" t="inlineStr">
        <is>
          <t>Mentioned (Text only)</t>
        </is>
      </c>
      <c r="K77" s="17" t="inlineStr">
        <is>
          <t>Not mentioned</t>
        </is>
      </c>
      <c r="L77" s="17" t="inlineStr">
        <is>
          <t>Cited with Link</t>
        </is>
      </c>
      <c r="M77" s="17" t="inlineStr">
        <is>
          <t>Not mentioned</t>
        </is>
      </c>
      <c r="N77" s="17" t="inlineStr">
        <is>
          <t>Runway, Descript, InVideo</t>
        </is>
      </c>
      <c r="O77" s="17" t="inlineStr">
        <is>
          <t>2026-10-21</t>
        </is>
      </c>
      <c r="P77" s="17" t="inlineStr">
        <is>
          <t>2026-10-23</t>
        </is>
      </c>
      <c r="Q77" s="17" t="inlineStr">
        <is>
          <t>Yes (Perplexity citation added)</t>
        </is>
      </c>
      <c r="R77" s="17" t="inlineStr">
        <is>
          <t>visibility/raw_answers/sample_raw_answers_audit.json#Q-073</t>
        </is>
      </c>
      <c r="S77" s="17" t="inlineStr">
        <is>
          <t>High</t>
        </is>
      </c>
      <c r="T77" s="17" t="inlineStr">
        <is>
          <t>Location verified: Manchester, UK</t>
        </is>
      </c>
      <c r="U77" s="18">
        <f>IF(COUNTIF(A$5:A$104, A77)=1, "UNIQUE", "DUPLICATE")</f>
        <v/>
      </c>
      <c r="V77" s="18">
        <f>IF(AND(B77&lt;&gt;"", F77&lt;&gt;""), "COMPLETE", "INCOMPLETE")</f>
        <v/>
      </c>
    </row>
    <row r="78">
      <c r="A78" s="17" t="inlineStr">
        <is>
          <t>Q-074</t>
        </is>
      </c>
      <c r="B78" s="5" t="inlineStr">
        <is>
          <t>Best AI tool for podcasters to create audiograms and b-roll clips</t>
        </is>
      </c>
      <c r="C78" s="5" t="inlineStr">
        <is>
          <t>Commercial</t>
        </is>
      </c>
      <c r="D78" s="5" t="inlineStr">
        <is>
          <t>Google People Also Ask</t>
        </is>
      </c>
      <c r="E78" s="5" t="inlineStr">
        <is>
          <t>https://google.com/search?q=best+ai+tool+podcasters+audiograms</t>
        </is>
      </c>
      <c r="F78" s="5" t="inlineStr">
        <is>
          <t>US</t>
        </is>
      </c>
      <c r="G78" s="17" t="inlineStr">
        <is>
          <t>&gt;10</t>
        </is>
      </c>
      <c r="H78" s="17" t="inlineStr">
        <is>
          <t>No</t>
        </is>
      </c>
      <c r="I78" s="17" t="inlineStr">
        <is>
          <t>https://pcmag.com/articles/ai-video-tools</t>
        </is>
      </c>
      <c r="J78" s="17" t="inlineStr">
        <is>
          <t>Not mentioned</t>
        </is>
      </c>
      <c r="K78" s="17" t="inlineStr">
        <is>
          <t>Not mentioned</t>
        </is>
      </c>
      <c r="L78" s="17" t="inlineStr">
        <is>
          <t>Not cited</t>
        </is>
      </c>
      <c r="M78" s="17" t="inlineStr">
        <is>
          <t>Not mentioned</t>
        </is>
      </c>
      <c r="N78" s="17" t="inlineStr">
        <is>
          <t>Runway, Descript, InVideo</t>
        </is>
      </c>
      <c r="O78" s="17" t="inlineStr">
        <is>
          <t>2026-10-21</t>
        </is>
      </c>
      <c r="P78" s="17" t="inlineStr">
        <is>
          <t>2026-10-23</t>
        </is>
      </c>
      <c r="Q78" s="17" t="inlineStr">
        <is>
          <t>No change</t>
        </is>
      </c>
      <c r="R78" s="17" t="inlineStr">
        <is>
          <t>visibility/raw_answers/sample_raw_answers_audit.json#Q-074</t>
        </is>
      </c>
      <c r="S78" s="17" t="inlineStr">
        <is>
          <t>Medium</t>
        </is>
      </c>
      <c r="T78" s="17" t="inlineStr">
        <is>
          <t>Location verified: Atlanta, GA</t>
        </is>
      </c>
      <c r="U78" s="18">
        <f>IF(COUNTIF(A$5:A$104, A78)=1, "UNIQUE", "DUPLICATE")</f>
        <v/>
      </c>
      <c r="V78" s="18">
        <f>IF(AND(B78&lt;&gt;"", F78&lt;&gt;""), "COMPLETE", "INCOMPLETE")</f>
        <v/>
      </c>
    </row>
    <row r="79">
      <c r="A79" s="17" t="inlineStr">
        <is>
          <t>Q-075</t>
        </is>
      </c>
      <c r="B79" s="5" t="inlineStr">
        <is>
          <t>Veed.io vs Kapwing vs IncuBrix: online video editing tools compared</t>
        </is>
      </c>
      <c r="C79" s="5" t="inlineStr">
        <is>
          <t>Commercial</t>
        </is>
      </c>
      <c r="D79" s="5" t="inlineStr">
        <is>
          <t>Google Search Suggestions</t>
        </is>
      </c>
      <c r="E79" s="5" t="inlineStr">
        <is>
          <t>https://google.com/search?q=veed+vs+kapwing+vs+incubrix</t>
        </is>
      </c>
      <c r="F79" s="5" t="inlineStr">
        <is>
          <t>US</t>
        </is>
      </c>
      <c r="G79" s="17" t="inlineStr">
        <is>
          <t>&gt;10</t>
        </is>
      </c>
      <c r="H79" s="17" t="inlineStr">
        <is>
          <t>No</t>
        </is>
      </c>
      <c r="I79" s="17" t="inlineStr">
        <is>
          <t>https://g2.com/categories/video-editing</t>
        </is>
      </c>
      <c r="J79" s="17" t="inlineStr">
        <is>
          <t>Not mentioned</t>
        </is>
      </c>
      <c r="K79" s="17" t="inlineStr">
        <is>
          <t>Not mentioned</t>
        </is>
      </c>
      <c r="L79" s="17" t="inlineStr">
        <is>
          <t>Not cited</t>
        </is>
      </c>
      <c r="M79" s="17" t="inlineStr">
        <is>
          <t>Not mentioned</t>
        </is>
      </c>
      <c r="N79" s="17" t="inlineStr">
        <is>
          <t>Runway, Descript, InVideo</t>
        </is>
      </c>
      <c r="O79" s="17" t="inlineStr">
        <is>
          <t>2026-10-21</t>
        </is>
      </c>
      <c r="P79" s="17" t="inlineStr">
        <is>
          <t>2026-10-23</t>
        </is>
      </c>
      <c r="Q79" s="17" t="inlineStr">
        <is>
          <t>No change</t>
        </is>
      </c>
      <c r="R79" s="17" t="inlineStr">
        <is>
          <t>visibility/raw_answers/sample_raw_answers_audit.json#Q-075</t>
        </is>
      </c>
      <c r="S79" s="17" t="inlineStr">
        <is>
          <t>Medium</t>
        </is>
      </c>
      <c r="T79" s="17" t="inlineStr">
        <is>
          <t>Location verified: Denver, CO</t>
        </is>
      </c>
      <c r="U79" s="18">
        <f>IF(COUNTIF(A$5:A$104, A79)=1, "UNIQUE", "DUPLICATE")</f>
        <v/>
      </c>
      <c r="V79" s="18">
        <f>IF(AND(B79&lt;&gt;"", F79&lt;&gt;""), "COMPLETE", "INCOMPLETE")</f>
        <v/>
      </c>
    </row>
    <row r="80">
      <c r="A80" s="17" t="inlineStr">
        <is>
          <t>Q-076</t>
        </is>
      </c>
      <c r="B80" s="5" t="inlineStr">
        <is>
          <t>Best AI thumbnail generators that predict click-through rate (CTR)</t>
        </is>
      </c>
      <c r="C80" s="5" t="inlineStr">
        <is>
          <t>Commercial</t>
        </is>
      </c>
      <c r="D80" s="5" t="inlineStr">
        <is>
          <t>YouTube Creator Community</t>
        </is>
      </c>
      <c r="E80" s="5" t="inlineStr">
        <is>
          <t>https://youtube.com/watch?v=ai-thumbnail-generators-ctr</t>
        </is>
      </c>
      <c r="F80" s="5" t="inlineStr">
        <is>
          <t>IN</t>
        </is>
      </c>
      <c r="G80" s="17" t="inlineStr">
        <is>
          <t>&gt;10</t>
        </is>
      </c>
      <c r="H80" s="17" t="inlineStr">
        <is>
          <t>Yes (Quotes runwayml.com)</t>
        </is>
      </c>
      <c r="I80" s="17" t="inlineStr">
        <is>
          <t>https://pcmag.com/articles/ai-video-tools</t>
        </is>
      </c>
      <c r="J80" s="17" t="inlineStr">
        <is>
          <t>Not mentioned</t>
        </is>
      </c>
      <c r="K80" s="17" t="inlineStr">
        <is>
          <t>Not mentioned</t>
        </is>
      </c>
      <c r="L80" s="17" t="inlineStr">
        <is>
          <t>Not cited</t>
        </is>
      </c>
      <c r="M80" s="17" t="inlineStr">
        <is>
          <t>Not mentioned</t>
        </is>
      </c>
      <c r="N80" s="17" t="inlineStr">
        <is>
          <t>Runway, Descript, InVideo</t>
        </is>
      </c>
      <c r="O80" s="17" t="inlineStr">
        <is>
          <t>2026-10-21</t>
        </is>
      </c>
      <c r="P80" s="17" t="inlineStr">
        <is>
          <t>2026-10-23</t>
        </is>
      </c>
      <c r="Q80" s="17" t="inlineStr">
        <is>
          <t>No change</t>
        </is>
      </c>
      <c r="R80" s="17" t="inlineStr">
        <is>
          <t>visibility/raw_answers/sample_raw_answers_audit.json#Q-076</t>
        </is>
      </c>
      <c r="S80" s="17" t="inlineStr">
        <is>
          <t>Medium</t>
        </is>
      </c>
      <c r="T80" s="17" t="inlineStr">
        <is>
          <t>Location verified: Bengaluru, IN</t>
        </is>
      </c>
      <c r="U80" s="18">
        <f>IF(COUNTIF(A$5:A$104, A80)=1, "UNIQUE", "DUPLICATE")</f>
        <v/>
      </c>
      <c r="V80" s="18">
        <f>IF(AND(B80&lt;&gt;"", F80&lt;&gt;""), "COMPLETE", "INCOMPLETE")</f>
        <v/>
      </c>
    </row>
    <row r="81">
      <c r="A81" s="17" t="inlineStr">
        <is>
          <t>Q-077</t>
        </is>
      </c>
      <c r="B81" s="5" t="inlineStr">
        <is>
          <t>Submagic vs Captions App: which produces better animated short-form subtitles?</t>
        </is>
      </c>
      <c r="C81" s="5" t="inlineStr">
        <is>
          <t>Commercial</t>
        </is>
      </c>
      <c r="D81" s="5" t="inlineStr">
        <is>
          <t>Reddit r/Tiktokhelp</t>
        </is>
      </c>
      <c r="E81" s="5" t="inlineStr">
        <is>
          <t>https://reddit.com/r/Tiktokhelp/comments/submagic_vs_captions</t>
        </is>
      </c>
      <c r="F81" s="5" t="inlineStr">
        <is>
          <t>US</t>
        </is>
      </c>
      <c r="G81" s="17" t="inlineStr">
        <is>
          <t>&gt;10</t>
        </is>
      </c>
      <c r="H81" s="17" t="inlineStr">
        <is>
          <t>No</t>
        </is>
      </c>
      <c r="I81" s="17" t="inlineStr">
        <is>
          <t>https://g2.com/categories/video-editing</t>
        </is>
      </c>
      <c r="J81" s="17" t="inlineStr">
        <is>
          <t>Not mentioned</t>
        </is>
      </c>
      <c r="K81" s="17" t="inlineStr">
        <is>
          <t>Not mentioned</t>
        </is>
      </c>
      <c r="L81" s="17" t="inlineStr">
        <is>
          <t>Not cited</t>
        </is>
      </c>
      <c r="M81" s="17" t="inlineStr">
        <is>
          <t>Not mentioned</t>
        </is>
      </c>
      <c r="N81" s="17" t="inlineStr">
        <is>
          <t>Opus Clip, Klap, Veed</t>
        </is>
      </c>
      <c r="O81" s="17" t="inlineStr">
        <is>
          <t>2026-10-21</t>
        </is>
      </c>
      <c r="P81" s="17" t="inlineStr">
        <is>
          <t>2026-10-23</t>
        </is>
      </c>
      <c r="Q81" s="17" t="inlineStr">
        <is>
          <t>No change</t>
        </is>
      </c>
      <c r="R81" s="17" t="inlineStr">
        <is>
          <t>visibility/raw_answers/sample_raw_answers_audit.json#Q-077</t>
        </is>
      </c>
      <c r="S81" s="17" t="inlineStr">
        <is>
          <t>Medium</t>
        </is>
      </c>
      <c r="T81" s="17" t="inlineStr">
        <is>
          <t>Location verified: Miami, FL</t>
        </is>
      </c>
      <c r="U81" s="18">
        <f>IF(COUNTIF(A$5:A$104, A81)=1, "UNIQUE", "DUPLICATE")</f>
        <v/>
      </c>
      <c r="V81" s="18">
        <f>IF(AND(B81&lt;&gt;"", F81&lt;&gt;""), "COMPLETE", "INCOMPLETE")</f>
        <v/>
      </c>
    </row>
    <row r="82">
      <c r="A82" s="17" t="inlineStr">
        <is>
          <t>Q-078</t>
        </is>
      </c>
      <c r="B82" s="5" t="inlineStr">
        <is>
          <t>Adobe Firefly Video Model vs Runway Gen-3: feature and licensing comparison</t>
        </is>
      </c>
      <c r="C82" s="5" t="inlineStr">
        <is>
          <t>Commercial</t>
        </is>
      </c>
      <c r="D82" s="5" t="inlineStr">
        <is>
          <t>Google Search Suggestions</t>
        </is>
      </c>
      <c r="E82" s="5" t="inlineStr">
        <is>
          <t>https://google.com/search?q=firefly+vs+runway+licensing</t>
        </is>
      </c>
      <c r="F82" s="5" t="inlineStr">
        <is>
          <t>US</t>
        </is>
      </c>
      <c r="G82" s="17" t="inlineStr">
        <is>
          <t>&gt;10</t>
        </is>
      </c>
      <c r="H82" s="17" t="inlineStr">
        <is>
          <t>No</t>
        </is>
      </c>
      <c r="I82" s="17" t="inlineStr">
        <is>
          <t>https://pcmag.com/articles/ai-video-tools</t>
        </is>
      </c>
      <c r="J82" s="17" t="inlineStr">
        <is>
          <t>Not mentioned</t>
        </is>
      </c>
      <c r="K82" s="17" t="inlineStr">
        <is>
          <t>Not mentioned</t>
        </is>
      </c>
      <c r="L82" s="17" t="inlineStr">
        <is>
          <t>Not cited</t>
        </is>
      </c>
      <c r="M82" s="17" t="inlineStr">
        <is>
          <t>Not mentioned</t>
        </is>
      </c>
      <c r="N82" s="17" t="inlineStr">
        <is>
          <t>Runway, Descript, InVideo</t>
        </is>
      </c>
      <c r="O82" s="17" t="inlineStr">
        <is>
          <t>2026-10-21</t>
        </is>
      </c>
      <c r="P82" s="17" t="inlineStr">
        <is>
          <t>2026-10-23</t>
        </is>
      </c>
      <c r="Q82" s="17" t="inlineStr">
        <is>
          <t>No change</t>
        </is>
      </c>
      <c r="R82" s="17" t="inlineStr">
        <is>
          <t>visibility/raw_answers/sample_raw_answers_audit.json#Q-078</t>
        </is>
      </c>
      <c r="S82" s="17" t="inlineStr">
        <is>
          <t>Medium</t>
        </is>
      </c>
      <c r="T82" s="17" t="inlineStr">
        <is>
          <t>Location verified: San Jose, CA</t>
        </is>
      </c>
      <c r="U82" s="18">
        <f>IF(COUNTIF(A$5:A$104, A82)=1, "UNIQUE", "DUPLICATE")</f>
        <v/>
      </c>
      <c r="V82" s="18">
        <f>IF(AND(B82&lt;&gt;"", F82&lt;&gt;""), "COMPLETE", "INCOMPLETE")</f>
        <v/>
      </c>
    </row>
    <row r="83">
      <c r="A83" s="17" t="inlineStr">
        <is>
          <t>Q-079</t>
        </is>
      </c>
      <c r="B83" s="5" t="inlineStr">
        <is>
          <t>Klap vs Munch vs Opus Clip: which AI repurposing tool finds the best clips?</t>
        </is>
      </c>
      <c r="C83" s="5" t="inlineStr">
        <is>
          <t>Commercial</t>
        </is>
      </c>
      <c r="D83" s="5" t="inlineStr">
        <is>
          <t>Quora</t>
        </is>
      </c>
      <c r="E83" s="5" t="inlineStr">
        <is>
          <t>https://quora.com/klap-vs-munch-vs-opusclip</t>
        </is>
      </c>
      <c r="F83" s="5" t="inlineStr">
        <is>
          <t>UK</t>
        </is>
      </c>
      <c r="G83" s="17" t="inlineStr">
        <is>
          <t>&gt;10</t>
        </is>
      </c>
      <c r="H83" s="17" t="inlineStr">
        <is>
          <t>No</t>
        </is>
      </c>
      <c r="I83" s="17" t="inlineStr">
        <is>
          <t>https://g2.com/categories/video-editing</t>
        </is>
      </c>
      <c r="J83" s="17" t="inlineStr">
        <is>
          <t>Not mentioned</t>
        </is>
      </c>
      <c r="K83" s="17" t="inlineStr">
        <is>
          <t>Not mentioned</t>
        </is>
      </c>
      <c r="L83" s="17" t="inlineStr">
        <is>
          <t>Not cited</t>
        </is>
      </c>
      <c r="M83" s="17" t="inlineStr">
        <is>
          <t>Not mentioned</t>
        </is>
      </c>
      <c r="N83" s="17" t="inlineStr">
        <is>
          <t>Runway, Descript, InVideo</t>
        </is>
      </c>
      <c r="O83" s="17" t="inlineStr">
        <is>
          <t>2026-10-21</t>
        </is>
      </c>
      <c r="P83" s="17" t="inlineStr">
        <is>
          <t>2026-10-23</t>
        </is>
      </c>
      <c r="Q83" s="17" t="inlineStr">
        <is>
          <t>No change</t>
        </is>
      </c>
      <c r="R83" s="17" t="inlineStr">
        <is>
          <t>visibility/raw_answers/sample_raw_answers_audit.json#Q-079</t>
        </is>
      </c>
      <c r="S83" s="17" t="inlineStr">
        <is>
          <t>Medium</t>
        </is>
      </c>
      <c r="T83" s="17" t="inlineStr">
        <is>
          <t>Location verified: London, UK</t>
        </is>
      </c>
      <c r="U83" s="18">
        <f>IF(COUNTIF(A$5:A$104, A83)=1, "UNIQUE", "DUPLICATE")</f>
        <v/>
      </c>
      <c r="V83" s="18">
        <f>IF(AND(B83&lt;&gt;"", F83&lt;&gt;""), "COMPLETE", "INCOMPLETE")</f>
        <v/>
      </c>
    </row>
    <row r="84">
      <c r="A84" s="17" t="inlineStr">
        <is>
          <t>Q-080</t>
        </is>
      </c>
      <c r="B84" s="5" t="inlineStr">
        <is>
          <t>Best free open source AI video generation tools you can run locally</t>
        </is>
      </c>
      <c r="C84" s="5" t="inlineStr">
        <is>
          <t>Commercial</t>
        </is>
      </c>
      <c r="D84" s="5" t="inlineStr">
        <is>
          <t>Reddit r/StableDiffusion</t>
        </is>
      </c>
      <c r="E84" s="5" t="inlineStr">
        <is>
          <t>https://reddit.com/r/StableDiffusion/comments/local_video_tools</t>
        </is>
      </c>
      <c r="F84" s="5" t="inlineStr">
        <is>
          <t>IN</t>
        </is>
      </c>
      <c r="G84" s="17" t="inlineStr">
        <is>
          <t>&gt;10</t>
        </is>
      </c>
      <c r="H84" s="17" t="inlineStr">
        <is>
          <t>Yes (Quotes runwayml.com)</t>
        </is>
      </c>
      <c r="I84" s="17" t="inlineStr">
        <is>
          <t>https://pcmag.com/articles/ai-video-tools</t>
        </is>
      </c>
      <c r="J84" s="17" t="inlineStr">
        <is>
          <t>Not mentioned</t>
        </is>
      </c>
      <c r="K84" s="17" t="inlineStr">
        <is>
          <t>Not mentioned</t>
        </is>
      </c>
      <c r="L84" s="17" t="inlineStr">
        <is>
          <t>Not cited</t>
        </is>
      </c>
      <c r="M84" s="17" t="inlineStr">
        <is>
          <t>Not mentioned</t>
        </is>
      </c>
      <c r="N84" s="17" t="inlineStr">
        <is>
          <t>Runway, Descript, InVideo</t>
        </is>
      </c>
      <c r="O84" s="17" t="inlineStr">
        <is>
          <t>2026-10-21</t>
        </is>
      </c>
      <c r="P84" s="17" t="inlineStr">
        <is>
          <t>2026-10-23</t>
        </is>
      </c>
      <c r="Q84" s="17" t="inlineStr">
        <is>
          <t>No change</t>
        </is>
      </c>
      <c r="R84" s="17" t="inlineStr">
        <is>
          <t>visibility/raw_answers/sample_raw_answers_audit.json#Q-080</t>
        </is>
      </c>
      <c r="S84" s="17" t="inlineStr">
        <is>
          <t>Medium</t>
        </is>
      </c>
      <c r="T84" s="17" t="inlineStr">
        <is>
          <t>Location verified: Hyderabad, IN</t>
        </is>
      </c>
      <c r="U84" s="18">
        <f>IF(COUNTIF(A$5:A$104, A84)=1, "UNIQUE", "DUPLICATE")</f>
        <v/>
      </c>
      <c r="V84" s="18">
        <f>IF(AND(B84&lt;&gt;"", F84&lt;&gt;""), "COMPLETE", "INCOMPLETE")</f>
        <v/>
      </c>
    </row>
    <row r="85">
      <c r="A85" s="17" t="inlineStr">
        <is>
          <t>Q-081</t>
        </is>
      </c>
      <c r="B85" s="5" t="inlineStr">
        <is>
          <t>Riverside.fm vs Descript for recording and editing remote podcast interviews</t>
        </is>
      </c>
      <c r="C85" s="5" t="inlineStr">
        <is>
          <t>Commercial</t>
        </is>
      </c>
      <c r="D85" s="5" t="inlineStr">
        <is>
          <t>Google People Also Ask</t>
        </is>
      </c>
      <c r="E85" s="5" t="inlineStr">
        <is>
          <t>https://google.com/search?q=riverside+vs+descript+podcast</t>
        </is>
      </c>
      <c r="F85" s="5" t="inlineStr">
        <is>
          <t>US</t>
        </is>
      </c>
      <c r="G85" s="17" t="inlineStr">
        <is>
          <t>&gt;10</t>
        </is>
      </c>
      <c r="H85" s="17" t="inlineStr">
        <is>
          <t>No</t>
        </is>
      </c>
      <c r="I85" s="17" t="inlineStr">
        <is>
          <t>https://g2.com/categories/video-editing</t>
        </is>
      </c>
      <c r="J85" s="17" t="inlineStr">
        <is>
          <t>Not mentioned</t>
        </is>
      </c>
      <c r="K85" s="17" t="inlineStr">
        <is>
          <t>Not mentioned</t>
        </is>
      </c>
      <c r="L85" s="17" t="inlineStr">
        <is>
          <t>Not cited</t>
        </is>
      </c>
      <c r="M85" s="17" t="inlineStr">
        <is>
          <t>Not mentioned</t>
        </is>
      </c>
      <c r="N85" s="17" t="inlineStr">
        <is>
          <t>Descript, CapCut, Podcastle</t>
        </is>
      </c>
      <c r="O85" s="17" t="inlineStr">
        <is>
          <t>2026-10-21</t>
        </is>
      </c>
      <c r="P85" s="17" t="inlineStr">
        <is>
          <t>2026-10-23</t>
        </is>
      </c>
      <c r="Q85" s="17" t="inlineStr">
        <is>
          <t>No change</t>
        </is>
      </c>
      <c r="R85" s="17" t="inlineStr">
        <is>
          <t>visibility/raw_answers/sample_raw_answers_audit.json#Q-081</t>
        </is>
      </c>
      <c r="S85" s="17" t="inlineStr">
        <is>
          <t>Medium</t>
        </is>
      </c>
      <c r="T85" s="17" t="inlineStr">
        <is>
          <t>Location verified: New York, NY</t>
        </is>
      </c>
      <c r="U85" s="18">
        <f>IF(COUNTIF(A$5:A$104, A85)=1, "UNIQUE", "DUPLICATE")</f>
        <v/>
      </c>
      <c r="V85" s="18">
        <f>IF(AND(B85&lt;&gt;"", F85&lt;&gt;""), "COMPLETE", "INCOMPLETE")</f>
        <v/>
      </c>
    </row>
    <row r="86">
      <c r="A86" s="17" t="inlineStr">
        <is>
          <t>Q-082</t>
        </is>
      </c>
      <c r="B86" s="5" t="inlineStr">
        <is>
          <t>Can Canva's AI video tools replace standalone video editing software?</t>
        </is>
      </c>
      <c r="C86" s="5" t="inlineStr">
        <is>
          <t>Commercial</t>
        </is>
      </c>
      <c r="D86" s="5" t="inlineStr">
        <is>
          <t>Google Search Suggestions</t>
        </is>
      </c>
      <c r="E86" s="5" t="inlineStr">
        <is>
          <t>https://google.com/search?q=canva+ai+video+vs+software</t>
        </is>
      </c>
      <c r="F86" s="5" t="inlineStr">
        <is>
          <t>UK</t>
        </is>
      </c>
      <c r="G86" s="17" t="inlineStr">
        <is>
          <t>&gt;10</t>
        </is>
      </c>
      <c r="H86" s="17" t="inlineStr">
        <is>
          <t>No</t>
        </is>
      </c>
      <c r="I86" s="17" t="inlineStr">
        <is>
          <t>https://pcmag.com/articles/ai-video-tools</t>
        </is>
      </c>
      <c r="J86" s="17" t="inlineStr">
        <is>
          <t>Not mentioned</t>
        </is>
      </c>
      <c r="K86" s="17" t="inlineStr">
        <is>
          <t>Not mentioned</t>
        </is>
      </c>
      <c r="L86" s="17" t="inlineStr">
        <is>
          <t>Not cited</t>
        </is>
      </c>
      <c r="M86" s="17" t="inlineStr">
        <is>
          <t>Not mentioned</t>
        </is>
      </c>
      <c r="N86" s="17" t="inlineStr">
        <is>
          <t>Runway, Descript, InVideo</t>
        </is>
      </c>
      <c r="O86" s="17" t="inlineStr">
        <is>
          <t>2026-10-21</t>
        </is>
      </c>
      <c r="P86" s="17" t="inlineStr">
        <is>
          <t>2026-10-23</t>
        </is>
      </c>
      <c r="Q86" s="17" t="inlineStr">
        <is>
          <t>No change</t>
        </is>
      </c>
      <c r="R86" s="17" t="inlineStr">
        <is>
          <t>visibility/raw_answers/sample_raw_answers_audit.json#Q-082</t>
        </is>
      </c>
      <c r="S86" s="17" t="inlineStr">
        <is>
          <t>Medium</t>
        </is>
      </c>
      <c r="T86" s="17" t="inlineStr">
        <is>
          <t>Location verified: Leeds, UK</t>
        </is>
      </c>
      <c r="U86" s="18">
        <f>IF(COUNTIF(A$5:A$104, A86)=1, "UNIQUE", "DUPLICATE")</f>
        <v/>
      </c>
      <c r="V86" s="18">
        <f>IF(AND(B86&lt;&gt;"", F86&lt;&gt;""), "COMPLETE", "INCOMPLETE")</f>
        <v/>
      </c>
    </row>
    <row r="87">
      <c r="A87" s="17" t="inlineStr">
        <is>
          <t>Q-083</t>
        </is>
      </c>
      <c r="B87" s="5" t="inlineStr">
        <is>
          <t>Best AI B-roll tools for Indian creators with low-spec PCs</t>
        </is>
      </c>
      <c r="C87" s="5" t="inlineStr">
        <is>
          <t>Commercial</t>
        </is>
      </c>
      <c r="D87" s="5" t="inlineStr">
        <is>
          <t>YouTube Creator Community</t>
        </is>
      </c>
      <c r="E87" s="5" t="inlineStr">
        <is>
          <t>https://youtube.com/watch?v=low-spec-pc-broll-ai</t>
        </is>
      </c>
      <c r="F87" s="5" t="inlineStr">
        <is>
          <t>IN</t>
        </is>
      </c>
      <c r="G87" s="17" t="inlineStr">
        <is>
          <t>&gt;10</t>
        </is>
      </c>
      <c r="H87" s="17" t="inlineStr">
        <is>
          <t>No</t>
        </is>
      </c>
      <c r="I87" s="17" t="inlineStr">
        <is>
          <t>https://g2.com/categories/video-editing</t>
        </is>
      </c>
      <c r="J87" s="17" t="inlineStr">
        <is>
          <t>Not mentioned</t>
        </is>
      </c>
      <c r="K87" s="17" t="inlineStr">
        <is>
          <t>Not mentioned</t>
        </is>
      </c>
      <c r="L87" s="17" t="inlineStr">
        <is>
          <t>Not cited</t>
        </is>
      </c>
      <c r="M87" s="17" t="inlineStr">
        <is>
          <t>Not mentioned</t>
        </is>
      </c>
      <c r="N87" s="17" t="inlineStr">
        <is>
          <t>Runway, Descript, InVideo</t>
        </is>
      </c>
      <c r="O87" s="17" t="inlineStr">
        <is>
          <t>2026-10-21</t>
        </is>
      </c>
      <c r="P87" s="17" t="inlineStr">
        <is>
          <t>2026-10-23</t>
        </is>
      </c>
      <c r="Q87" s="17" t="inlineStr">
        <is>
          <t>No change</t>
        </is>
      </c>
      <c r="R87" s="17" t="inlineStr">
        <is>
          <t>visibility/raw_answers/sample_raw_answers_audit.json#Q-083</t>
        </is>
      </c>
      <c r="S87" s="17" t="inlineStr">
        <is>
          <t>Medium</t>
        </is>
      </c>
      <c r="T87" s="17" t="inlineStr">
        <is>
          <t>Location verified: Mumbai, IN</t>
        </is>
      </c>
      <c r="U87" s="18">
        <f>IF(COUNTIF(A$5:A$104, A87)=1, "UNIQUE", "DUPLICATE")</f>
        <v/>
      </c>
      <c r="V87" s="18">
        <f>IF(AND(B87&lt;&gt;"", F87&lt;&gt;""), "COMPLETE", "INCOMPLETE")</f>
        <v/>
      </c>
    </row>
    <row r="88">
      <c r="A88" s="17" t="inlineStr">
        <is>
          <t>Q-084</t>
        </is>
      </c>
      <c r="B88" s="5" t="inlineStr">
        <is>
          <t>ElevenLabs vs Murf.ai: best AI voiceover platform for video narration</t>
        </is>
      </c>
      <c r="C88" s="5" t="inlineStr">
        <is>
          <t>Commercial</t>
        </is>
      </c>
      <c r="D88" s="5" t="inlineStr">
        <is>
          <t>Reddit r/voiceacting</t>
        </is>
      </c>
      <c r="E88" s="5" t="inlineStr">
        <is>
          <t>https://reddit.com/r/voiceacting/comments/elevenlabs_vs_murf</t>
        </is>
      </c>
      <c r="F88" s="5" t="inlineStr">
        <is>
          <t>US</t>
        </is>
      </c>
      <c r="G88" s="17" t="inlineStr">
        <is>
          <t>&gt;10</t>
        </is>
      </c>
      <c r="H88" s="17" t="inlineStr">
        <is>
          <t>Yes (Quotes runwayml.com)</t>
        </is>
      </c>
      <c r="I88" s="17" t="inlineStr">
        <is>
          <t>https://pcmag.com/articles/ai-video-tools</t>
        </is>
      </c>
      <c r="J88" s="17" t="inlineStr">
        <is>
          <t>Not mentioned</t>
        </is>
      </c>
      <c r="K88" s="17" t="inlineStr">
        <is>
          <t>Not mentioned</t>
        </is>
      </c>
      <c r="L88" s="17" t="inlineStr">
        <is>
          <t>Not cited</t>
        </is>
      </c>
      <c r="M88" s="17" t="inlineStr">
        <is>
          <t>Not mentioned</t>
        </is>
      </c>
      <c r="N88" s="17" t="inlineStr">
        <is>
          <t>Runway, Descript, InVideo</t>
        </is>
      </c>
      <c r="O88" s="17" t="inlineStr">
        <is>
          <t>2026-10-21</t>
        </is>
      </c>
      <c r="P88" s="17" t="inlineStr">
        <is>
          <t>2026-10-23</t>
        </is>
      </c>
      <c r="Q88" s="17" t="inlineStr">
        <is>
          <t>No change</t>
        </is>
      </c>
      <c r="R88" s="17" t="inlineStr">
        <is>
          <t>visibility/raw_answers/sample_raw_answers_audit.json#Q-084</t>
        </is>
      </c>
      <c r="S88" s="17" t="inlineStr">
        <is>
          <t>Medium</t>
        </is>
      </c>
      <c r="T88" s="17" t="inlineStr">
        <is>
          <t>Location verified: San Francisco, CA</t>
        </is>
      </c>
      <c r="U88" s="18">
        <f>IF(COUNTIF(A$5:A$104, A88)=1, "UNIQUE", "DUPLICATE")</f>
        <v/>
      </c>
      <c r="V88" s="18">
        <f>IF(AND(B88&lt;&gt;"", F88&lt;&gt;""), "COMPLETE", "INCOMPLETE")</f>
        <v/>
      </c>
    </row>
    <row r="89">
      <c r="A89" s="17" t="inlineStr">
        <is>
          <t>Q-085</t>
        </is>
      </c>
      <c r="B89" s="5" t="inlineStr">
        <is>
          <t>What are the best alternatives to Descript with better stock footage licensing?</t>
        </is>
      </c>
      <c r="C89" s="5" t="inlineStr">
        <is>
          <t>Commercial</t>
        </is>
      </c>
      <c r="D89" s="5" t="inlineStr">
        <is>
          <t>Google Search Suggestions</t>
        </is>
      </c>
      <c r="E89" s="5" t="inlineStr">
        <is>
          <t>https://google.com/search?q=descript+alternatives+stock+footage</t>
        </is>
      </c>
      <c r="F89" s="5" t="inlineStr">
        <is>
          <t>US</t>
        </is>
      </c>
      <c r="G89" s="17" t="inlineStr">
        <is>
          <t>&gt;10</t>
        </is>
      </c>
      <c r="H89" s="17" t="inlineStr">
        <is>
          <t>No</t>
        </is>
      </c>
      <c r="I89" s="17" t="inlineStr">
        <is>
          <t>https://g2.com/categories/video-editing</t>
        </is>
      </c>
      <c r="J89" s="17" t="inlineStr">
        <is>
          <t>Not mentioned</t>
        </is>
      </c>
      <c r="K89" s="17" t="inlineStr">
        <is>
          <t>Not mentioned</t>
        </is>
      </c>
      <c r="L89" s="17" t="inlineStr">
        <is>
          <t>Not cited</t>
        </is>
      </c>
      <c r="M89" s="17" t="inlineStr">
        <is>
          <t>Not mentioned</t>
        </is>
      </c>
      <c r="N89" s="17" t="inlineStr">
        <is>
          <t>Descript, CapCut, Podcastle</t>
        </is>
      </c>
      <c r="O89" s="17" t="inlineStr">
        <is>
          <t>2026-10-21</t>
        </is>
      </c>
      <c r="P89" s="17" t="inlineStr">
        <is>
          <t>2026-10-23</t>
        </is>
      </c>
      <c r="Q89" s="17" t="inlineStr">
        <is>
          <t>No change</t>
        </is>
      </c>
      <c r="R89" s="17" t="inlineStr">
        <is>
          <t>visibility/raw_answers/sample_raw_answers_audit.json#Q-085</t>
        </is>
      </c>
      <c r="S89" s="17" t="inlineStr">
        <is>
          <t>Medium</t>
        </is>
      </c>
      <c r="T89" s="17" t="inlineStr">
        <is>
          <t>Location verified: Austin, TX</t>
        </is>
      </c>
      <c r="U89" s="18">
        <f>IF(COUNTIF(A$5:A$104, A89)=1, "UNIQUE", "DUPLICATE")</f>
        <v/>
      </c>
      <c r="V89" s="18">
        <f>IF(AND(B89&lt;&gt;"", F89&lt;&gt;""), "COMPLETE", "INCOMPLETE")</f>
        <v/>
      </c>
    </row>
    <row r="90">
      <c r="A90" s="17" t="inlineStr">
        <is>
          <t>Q-086</t>
        </is>
      </c>
      <c r="B90" s="5" t="inlineStr">
        <is>
          <t>What is Generative Engine Optimization (GEO) and how does it differ from SEO?</t>
        </is>
      </c>
      <c r="C90" s="5" t="inlineStr">
        <is>
          <t>Informational</t>
        </is>
      </c>
      <c r="D90" s="5" t="inlineStr">
        <is>
          <t>Google Search Suggestions</t>
        </is>
      </c>
      <c r="E90" s="5" t="inlineStr">
        <is>
          <t>https://google.com/search?q=geo+vs+seo+guide</t>
        </is>
      </c>
      <c r="F90" s="5" t="inlineStr">
        <is>
          <t>US</t>
        </is>
      </c>
      <c r="G90" s="17" t="inlineStr">
        <is>
          <t>&gt;10</t>
        </is>
      </c>
      <c r="H90" s="17" t="inlineStr">
        <is>
          <t>No</t>
        </is>
      </c>
      <c r="I90" s="17" t="inlineStr">
        <is>
          <t>https://pcmag.com/articles/ai-video-tools</t>
        </is>
      </c>
      <c r="J90" s="17" t="inlineStr">
        <is>
          <t>Not mentioned</t>
        </is>
      </c>
      <c r="K90" s="17" t="inlineStr">
        <is>
          <t>Not mentioned</t>
        </is>
      </c>
      <c r="L90" s="17" t="inlineStr">
        <is>
          <t>Not cited</t>
        </is>
      </c>
      <c r="M90" s="17" t="inlineStr">
        <is>
          <t>Not mentioned</t>
        </is>
      </c>
      <c r="N90" s="17" t="inlineStr">
        <is>
          <t>Runway, Descript, InVideo</t>
        </is>
      </c>
      <c r="O90" s="17" t="inlineStr">
        <is>
          <t>2026-10-21</t>
        </is>
      </c>
      <c r="P90" s="17" t="inlineStr">
        <is>
          <t>2026-10-23</t>
        </is>
      </c>
      <c r="Q90" s="17" t="inlineStr">
        <is>
          <t>No change</t>
        </is>
      </c>
      <c r="R90" s="17" t="inlineStr">
        <is>
          <t>visibility/raw_answers/sample_raw_answers_audit.json#Q-086</t>
        </is>
      </c>
      <c r="S90" s="17" t="inlineStr">
        <is>
          <t>Medium</t>
        </is>
      </c>
      <c r="T90" s="17" t="inlineStr">
        <is>
          <t>Location verified: New York, NY</t>
        </is>
      </c>
      <c r="U90" s="18">
        <f>IF(COUNTIF(A$5:A$104, A90)=1, "UNIQUE", "DUPLICATE")</f>
        <v/>
      </c>
      <c r="V90" s="18">
        <f>IF(AND(B90&lt;&gt;"", F90&lt;&gt;""), "COMPLETE", "INCOMPLETE")</f>
        <v/>
      </c>
    </row>
    <row r="91">
      <c r="A91" s="17" t="inlineStr">
        <is>
          <t>Q-087</t>
        </is>
      </c>
      <c r="B91" s="5" t="inlineStr">
        <is>
          <t>How do AI answer engines like Perplexity choose which sources and tools to cite?</t>
        </is>
      </c>
      <c r="C91" s="5" t="inlineStr">
        <is>
          <t>Informational</t>
        </is>
      </c>
      <c r="D91" s="5" t="inlineStr">
        <is>
          <t>Search Engine Journal</t>
        </is>
      </c>
      <c r="E91" s="5" t="inlineStr">
        <is>
          <t>https://searchenginejournal.com/how-ai-cites-sources</t>
        </is>
      </c>
      <c r="F91" s="5" t="inlineStr">
        <is>
          <t>US</t>
        </is>
      </c>
      <c r="G91" s="17" t="inlineStr">
        <is>
          <t>&gt;10</t>
        </is>
      </c>
      <c r="H91" s="17" t="inlineStr">
        <is>
          <t>No</t>
        </is>
      </c>
      <c r="I91" s="17" t="inlineStr">
        <is>
          <t>https://g2.com/categories/video-editing</t>
        </is>
      </c>
      <c r="J91" s="17" t="inlineStr">
        <is>
          <t>Not mentioned</t>
        </is>
      </c>
      <c r="K91" s="17" t="inlineStr">
        <is>
          <t>Not mentioned</t>
        </is>
      </c>
      <c r="L91" s="17" t="inlineStr">
        <is>
          <t>Not cited</t>
        </is>
      </c>
      <c r="M91" s="17" t="inlineStr">
        <is>
          <t>Not mentioned</t>
        </is>
      </c>
      <c r="N91" s="17" t="inlineStr">
        <is>
          <t>Runway, Descript, InVideo</t>
        </is>
      </c>
      <c r="O91" s="17" t="inlineStr">
        <is>
          <t>2026-10-21</t>
        </is>
      </c>
      <c r="P91" s="17" t="inlineStr">
        <is>
          <t>2026-10-23</t>
        </is>
      </c>
      <c r="Q91" s="17" t="inlineStr">
        <is>
          <t>No change</t>
        </is>
      </c>
      <c r="R91" s="17" t="inlineStr">
        <is>
          <t>visibility/raw_answers/sample_raw_answers_audit.json#Q-087</t>
        </is>
      </c>
      <c r="S91" s="17" t="inlineStr">
        <is>
          <t>Medium</t>
        </is>
      </c>
      <c r="T91" s="17" t="inlineStr">
        <is>
          <t>Location verified: San Francisco, CA</t>
        </is>
      </c>
      <c r="U91" s="18">
        <f>IF(COUNTIF(A$5:A$104, A91)=1, "UNIQUE", "DUPLICATE")</f>
        <v/>
      </c>
      <c r="V91" s="18">
        <f>IF(AND(B91&lt;&gt;"", F91&lt;&gt;""), "COMPLETE", "INCOMPLETE")</f>
        <v/>
      </c>
    </row>
    <row r="92">
      <c r="A92" s="17" t="inlineStr">
        <is>
          <t>Q-088</t>
        </is>
      </c>
      <c r="B92" s="5" t="inlineStr">
        <is>
          <t>What technical SEO factors affect whether Google AI Overviews feature your content?</t>
        </is>
      </c>
      <c r="C92" s="5" t="inlineStr">
        <is>
          <t>Informational</t>
        </is>
      </c>
      <c r="D92" s="5" t="inlineStr">
        <is>
          <t>Google Search Central</t>
        </is>
      </c>
      <c r="E92" s="5" t="inlineStr">
        <is>
          <t>https://developers.google.com/search/docs/ai-overviews</t>
        </is>
      </c>
      <c r="F92" s="5" t="inlineStr">
        <is>
          <t>US</t>
        </is>
      </c>
      <c r="G92" s="17" t="inlineStr">
        <is>
          <t>&gt;10</t>
        </is>
      </c>
      <c r="H92" s="17" t="inlineStr">
        <is>
          <t>Yes (Quotes runwayml.com)</t>
        </is>
      </c>
      <c r="I92" s="17" t="inlineStr">
        <is>
          <t>https://pcmag.com/articles/ai-video-tools</t>
        </is>
      </c>
      <c r="J92" s="17" t="inlineStr">
        <is>
          <t>Not mentioned</t>
        </is>
      </c>
      <c r="K92" s="17" t="inlineStr">
        <is>
          <t>Not mentioned</t>
        </is>
      </c>
      <c r="L92" s="17" t="inlineStr">
        <is>
          <t>Not cited</t>
        </is>
      </c>
      <c r="M92" s="17" t="inlineStr">
        <is>
          <t>Not mentioned</t>
        </is>
      </c>
      <c r="N92" s="17" t="inlineStr">
        <is>
          <t>Runway, Descript, InVideo</t>
        </is>
      </c>
      <c r="O92" s="17" t="inlineStr">
        <is>
          <t>2026-10-21</t>
        </is>
      </c>
      <c r="P92" s="17" t="inlineStr">
        <is>
          <t>2026-10-23</t>
        </is>
      </c>
      <c r="Q92" s="17" t="inlineStr">
        <is>
          <t>No change</t>
        </is>
      </c>
      <c r="R92" s="17" t="inlineStr">
        <is>
          <t>visibility/raw_answers/sample_raw_answers_audit.json#Q-088</t>
        </is>
      </c>
      <c r="S92" s="17" t="inlineStr">
        <is>
          <t>Medium</t>
        </is>
      </c>
      <c r="T92" s="17" t="inlineStr">
        <is>
          <t>Location verified: Austin, TX</t>
        </is>
      </c>
      <c r="U92" s="18">
        <f>IF(COUNTIF(A$5:A$104, A92)=1, "UNIQUE", "DUPLICATE")</f>
        <v/>
      </c>
      <c r="V92" s="18">
        <f>IF(AND(B92&lt;&gt;"", F92&lt;&gt;""), "COMPLETE", "INCOMPLETE")</f>
        <v/>
      </c>
    </row>
    <row r="93">
      <c r="A93" s="17" t="inlineStr">
        <is>
          <t>Q-089</t>
        </is>
      </c>
      <c r="B93" s="5" t="inlineStr">
        <is>
          <t>How does robots.txt impact AI crawlers like GPTBot, ClaudeBot, and PerplexityBot?</t>
        </is>
      </c>
      <c r="C93" s="5" t="inlineStr">
        <is>
          <t>Informational</t>
        </is>
      </c>
      <c r="D93" s="5" t="inlineStr">
        <is>
          <t>Search Engine Land</t>
        </is>
      </c>
      <c r="E93" s="5" t="inlineStr">
        <is>
          <t>https://searchengineland.com/robots-txt-ai-crawlers</t>
        </is>
      </c>
      <c r="F93" s="5" t="inlineStr">
        <is>
          <t>US</t>
        </is>
      </c>
      <c r="G93" s="17" t="inlineStr">
        <is>
          <t>&gt;10</t>
        </is>
      </c>
      <c r="H93" s="17" t="inlineStr">
        <is>
          <t>No</t>
        </is>
      </c>
      <c r="I93" s="17" t="inlineStr">
        <is>
          <t>https://g2.com/categories/video-editing</t>
        </is>
      </c>
      <c r="J93" s="17" t="inlineStr">
        <is>
          <t>Not mentioned</t>
        </is>
      </c>
      <c r="K93" s="17" t="inlineStr">
        <is>
          <t>Not mentioned</t>
        </is>
      </c>
      <c r="L93" s="17" t="inlineStr">
        <is>
          <t>Not cited</t>
        </is>
      </c>
      <c r="M93" s="17" t="inlineStr">
        <is>
          <t>Not mentioned</t>
        </is>
      </c>
      <c r="N93" s="17" t="inlineStr">
        <is>
          <t>Runway, Descript, InVideo</t>
        </is>
      </c>
      <c r="O93" s="17" t="inlineStr">
        <is>
          <t>2026-10-21</t>
        </is>
      </c>
      <c r="P93" s="17" t="inlineStr">
        <is>
          <t>2026-10-23</t>
        </is>
      </c>
      <c r="Q93" s="17" t="inlineStr">
        <is>
          <t>No change</t>
        </is>
      </c>
      <c r="R93" s="17" t="inlineStr">
        <is>
          <t>visibility/raw_answers/sample_raw_answers_audit.json#Q-089</t>
        </is>
      </c>
      <c r="S93" s="17" t="inlineStr">
        <is>
          <t>Medium</t>
        </is>
      </c>
      <c r="T93" s="17" t="inlineStr">
        <is>
          <t>Location verified: Chicago, IL</t>
        </is>
      </c>
      <c r="U93" s="18">
        <f>IF(COUNTIF(A$5:A$104, A93)=1, "UNIQUE", "DUPLICATE")</f>
        <v/>
      </c>
      <c r="V93" s="18">
        <f>IF(AND(B93&lt;&gt;"", F93&lt;&gt;""), "COMPLETE", "INCOMPLETE")</f>
        <v/>
      </c>
    </row>
    <row r="94">
      <c r="A94" s="17" t="inlineStr">
        <is>
          <t>Q-090</t>
        </is>
      </c>
      <c r="B94" s="5" t="inlineStr">
        <is>
          <t>Why is Schema.org structured data essential for Answer Engine Optimization (AEO)?</t>
        </is>
      </c>
      <c r="C94" s="5" t="inlineStr">
        <is>
          <t>Informational</t>
        </is>
      </c>
      <c r="D94" s="5" t="inlineStr">
        <is>
          <t>W3C Schema Community</t>
        </is>
      </c>
      <c r="E94" s="5" t="inlineStr">
        <is>
          <t>https://schema.org/docs/aeo-guidelines</t>
        </is>
      </c>
      <c r="F94" s="5" t="inlineStr">
        <is>
          <t>UK</t>
        </is>
      </c>
      <c r="G94" s="17" t="inlineStr">
        <is>
          <t>&gt;10</t>
        </is>
      </c>
      <c r="H94" s="17" t="inlineStr">
        <is>
          <t>No</t>
        </is>
      </c>
      <c r="I94" s="17" t="inlineStr">
        <is>
          <t>https://pcmag.com/articles/ai-video-tools</t>
        </is>
      </c>
      <c r="J94" s="17" t="inlineStr">
        <is>
          <t>Not mentioned</t>
        </is>
      </c>
      <c r="K94" s="17" t="inlineStr">
        <is>
          <t>Not mentioned</t>
        </is>
      </c>
      <c r="L94" s="17" t="inlineStr">
        <is>
          <t>Not cited</t>
        </is>
      </c>
      <c r="M94" s="17" t="inlineStr">
        <is>
          <t>Not mentioned</t>
        </is>
      </c>
      <c r="N94" s="17" t="inlineStr">
        <is>
          <t>Runway, Descript, InVideo</t>
        </is>
      </c>
      <c r="O94" s="17" t="inlineStr">
        <is>
          <t>2026-10-21</t>
        </is>
      </c>
      <c r="P94" s="17" t="inlineStr">
        <is>
          <t>2026-10-23</t>
        </is>
      </c>
      <c r="Q94" s="17" t="inlineStr">
        <is>
          <t>No change</t>
        </is>
      </c>
      <c r="R94" s="17" t="inlineStr">
        <is>
          <t>visibility/raw_answers/sample_raw_answers_audit.json#Q-090</t>
        </is>
      </c>
      <c r="S94" s="17" t="inlineStr">
        <is>
          <t>Medium</t>
        </is>
      </c>
      <c r="T94" s="17" t="inlineStr">
        <is>
          <t>Location verified: London, UK</t>
        </is>
      </c>
      <c r="U94" s="18">
        <f>IF(COUNTIF(A$5:A$104, A94)=1, "UNIQUE", "DUPLICATE")</f>
        <v/>
      </c>
      <c r="V94" s="18">
        <f>IF(AND(B94&lt;&gt;"", F94&lt;&gt;""), "COMPLETE", "INCOMPLETE")</f>
        <v/>
      </c>
    </row>
    <row r="95">
      <c r="A95" s="17" t="inlineStr">
        <is>
          <t>Q-091</t>
        </is>
      </c>
      <c r="B95" s="5" t="inlineStr">
        <is>
          <t>What are the best practices for structuring FAQ blocks for AI search retrieval?</t>
        </is>
      </c>
      <c r="C95" s="5" t="inlineStr">
        <is>
          <t>Informational</t>
        </is>
      </c>
      <c r="D95" s="5" t="inlineStr">
        <is>
          <t>HubSpot Marketing Blog</t>
        </is>
      </c>
      <c r="E95" s="5" t="inlineStr">
        <is>
          <t>https://blog.hubspot.com/marketing/faq-ai-retrieval</t>
        </is>
      </c>
      <c r="F95" s="5" t="inlineStr">
        <is>
          <t>US</t>
        </is>
      </c>
      <c r="G95" s="17" t="inlineStr">
        <is>
          <t>&gt;10</t>
        </is>
      </c>
      <c r="H95" s="17" t="inlineStr">
        <is>
          <t>No</t>
        </is>
      </c>
      <c r="I95" s="17" t="inlineStr">
        <is>
          <t>https://g2.com/categories/video-editing</t>
        </is>
      </c>
      <c r="J95" s="17" t="inlineStr">
        <is>
          <t>Not mentioned</t>
        </is>
      </c>
      <c r="K95" s="17" t="inlineStr">
        <is>
          <t>Not mentioned</t>
        </is>
      </c>
      <c r="L95" s="17" t="inlineStr">
        <is>
          <t>Not cited</t>
        </is>
      </c>
      <c r="M95" s="17" t="inlineStr">
        <is>
          <t>Not mentioned</t>
        </is>
      </c>
      <c r="N95" s="17" t="inlineStr">
        <is>
          <t>Runway, Descript, InVideo</t>
        </is>
      </c>
      <c r="O95" s="17" t="inlineStr">
        <is>
          <t>2026-10-21</t>
        </is>
      </c>
      <c r="P95" s="17" t="inlineStr">
        <is>
          <t>2026-10-23</t>
        </is>
      </c>
      <c r="Q95" s="17" t="inlineStr">
        <is>
          <t>No change</t>
        </is>
      </c>
      <c r="R95" s="17" t="inlineStr">
        <is>
          <t>visibility/raw_answers/sample_raw_answers_audit.json#Q-091</t>
        </is>
      </c>
      <c r="S95" s="17" t="inlineStr">
        <is>
          <t>Medium</t>
        </is>
      </c>
      <c r="T95" s="17" t="inlineStr">
        <is>
          <t>Location verified: Los Angeles, CA</t>
        </is>
      </c>
      <c r="U95" s="18">
        <f>IF(COUNTIF(A$5:A$104, A95)=1, "UNIQUE", "DUPLICATE")</f>
        <v/>
      </c>
      <c r="V95" s="18">
        <f>IF(AND(B95&lt;&gt;"", F95&lt;&gt;""), "COMPLETE", "INCOMPLETE")</f>
        <v/>
      </c>
    </row>
    <row r="96">
      <c r="A96" s="17" t="inlineStr">
        <is>
          <t>Q-092</t>
        </is>
      </c>
      <c r="B96" s="5" t="inlineStr">
        <is>
          <t>How can video software companies track brand mentions in ChatGPT and Claude?</t>
        </is>
      </c>
      <c r="C96" s="5" t="inlineStr">
        <is>
          <t>Informational</t>
        </is>
      </c>
      <c r="D96" s="5" t="inlineStr">
        <is>
          <t>MarTech Series</t>
        </is>
      </c>
      <c r="E96" s="5" t="inlineStr">
        <is>
          <t>https://martech.org/tracking-chatgpt-mentions</t>
        </is>
      </c>
      <c r="F96" s="5" t="inlineStr">
        <is>
          <t>US</t>
        </is>
      </c>
      <c r="G96" s="17" t="inlineStr">
        <is>
          <t>&gt;10</t>
        </is>
      </c>
      <c r="H96" s="17" t="inlineStr">
        <is>
          <t>Yes (Quotes runwayml.com)</t>
        </is>
      </c>
      <c r="I96" s="17" t="inlineStr">
        <is>
          <t>https://pcmag.com/articles/ai-video-tools</t>
        </is>
      </c>
      <c r="J96" s="17" t="inlineStr">
        <is>
          <t>Not mentioned</t>
        </is>
      </c>
      <c r="K96" s="17" t="inlineStr">
        <is>
          <t>Not mentioned</t>
        </is>
      </c>
      <c r="L96" s="17" t="inlineStr">
        <is>
          <t>Not cited</t>
        </is>
      </c>
      <c r="M96" s="17" t="inlineStr">
        <is>
          <t>Not mentioned</t>
        </is>
      </c>
      <c r="N96" s="17" t="inlineStr">
        <is>
          <t>Runway, Descript, InVideo</t>
        </is>
      </c>
      <c r="O96" s="17" t="inlineStr">
        <is>
          <t>2026-10-21</t>
        </is>
      </c>
      <c r="P96" s="17" t="inlineStr">
        <is>
          <t>2026-10-23</t>
        </is>
      </c>
      <c r="Q96" s="17" t="inlineStr">
        <is>
          <t>No change</t>
        </is>
      </c>
      <c r="R96" s="17" t="inlineStr">
        <is>
          <t>visibility/raw_answers/sample_raw_answers_audit.json#Q-092</t>
        </is>
      </c>
      <c r="S96" s="17" t="inlineStr">
        <is>
          <t>Medium</t>
        </is>
      </c>
      <c r="T96" s="17" t="inlineStr">
        <is>
          <t>Location verified: Seattle, WA</t>
        </is>
      </c>
      <c r="U96" s="18">
        <f>IF(COUNTIF(A$5:A$104, A96)=1, "UNIQUE", "DUPLICATE")</f>
        <v/>
      </c>
      <c r="V96" s="18">
        <f>IF(AND(B96&lt;&gt;"", F96&lt;&gt;""), "COMPLETE", "INCOMPLETE")</f>
        <v/>
      </c>
    </row>
    <row r="97">
      <c r="A97" s="17" t="inlineStr">
        <is>
          <t>Q-093</t>
        </is>
      </c>
      <c r="B97" s="5" t="inlineStr">
        <is>
          <t>How to identify and bridge competitive citation gaps in generative AI engines</t>
        </is>
      </c>
      <c r="C97" s="5" t="inlineStr">
        <is>
          <t>Informational</t>
        </is>
      </c>
      <c r="D97" s="5" t="inlineStr">
        <is>
          <t>Search Engine Watch</t>
        </is>
      </c>
      <c r="E97" s="5" t="inlineStr">
        <is>
          <t>https://searchenginewatch.com/citation-gaps-ai</t>
        </is>
      </c>
      <c r="F97" s="5" t="inlineStr">
        <is>
          <t>US</t>
        </is>
      </c>
      <c r="G97" s="17" t="inlineStr">
        <is>
          <t>&gt;10</t>
        </is>
      </c>
      <c r="H97" s="17" t="inlineStr">
        <is>
          <t>No</t>
        </is>
      </c>
      <c r="I97" s="17" t="inlineStr">
        <is>
          <t>https://g2.com/categories/video-editing</t>
        </is>
      </c>
      <c r="J97" s="17" t="inlineStr">
        <is>
          <t>Not mentioned</t>
        </is>
      </c>
      <c r="K97" s="17" t="inlineStr">
        <is>
          <t>Not mentioned</t>
        </is>
      </c>
      <c r="L97" s="17" t="inlineStr">
        <is>
          <t>Not cited</t>
        </is>
      </c>
      <c r="M97" s="17" t="inlineStr">
        <is>
          <t>Not mentioned</t>
        </is>
      </c>
      <c r="N97" s="17" t="inlineStr">
        <is>
          <t>Runway, Descript, InVideo</t>
        </is>
      </c>
      <c r="O97" s="17" t="inlineStr">
        <is>
          <t>2026-10-21</t>
        </is>
      </c>
      <c r="P97" s="17" t="inlineStr">
        <is>
          <t>2026-10-23</t>
        </is>
      </c>
      <c r="Q97" s="17" t="inlineStr">
        <is>
          <t>No change</t>
        </is>
      </c>
      <c r="R97" s="17" t="inlineStr">
        <is>
          <t>visibility/raw_answers/sample_raw_answers_audit.json#Q-093</t>
        </is>
      </c>
      <c r="S97" s="17" t="inlineStr">
        <is>
          <t>Medium</t>
        </is>
      </c>
      <c r="T97" s="17" t="inlineStr">
        <is>
          <t>Location verified: Boston, MA</t>
        </is>
      </c>
      <c r="U97" s="18">
        <f>IF(COUNTIF(A$5:A$104, A97)=1, "UNIQUE", "DUPLICATE")</f>
        <v/>
      </c>
      <c r="V97" s="18">
        <f>IF(AND(B97&lt;&gt;"", F97&lt;&gt;""), "COMPLETE", "INCOMPLETE")</f>
        <v/>
      </c>
    </row>
    <row r="98">
      <c r="A98" s="17" t="inlineStr">
        <is>
          <t>Q-094</t>
        </is>
      </c>
      <c r="B98" s="5" t="inlineStr">
        <is>
          <t>How to optimize video scripts so AI assistants quote your software as the primary tool</t>
        </is>
      </c>
      <c r="C98" s="5" t="inlineStr">
        <is>
          <t>Informational</t>
        </is>
      </c>
      <c r="D98" s="5" t="inlineStr">
        <is>
          <t>Quora</t>
        </is>
      </c>
      <c r="E98" s="5" t="inlineStr">
        <is>
          <t>https://quora.com/optimize-video-scripts-ai-quotes</t>
        </is>
      </c>
      <c r="F98" s="5" t="inlineStr">
        <is>
          <t>UK</t>
        </is>
      </c>
      <c r="G98" s="17" t="inlineStr">
        <is>
          <t>&gt;10</t>
        </is>
      </c>
      <c r="H98" s="17" t="inlineStr">
        <is>
          <t>No</t>
        </is>
      </c>
      <c r="I98" s="17" t="inlineStr">
        <is>
          <t>https://pcmag.com/articles/ai-video-tools</t>
        </is>
      </c>
      <c r="J98" s="17" t="inlineStr">
        <is>
          <t>Not mentioned</t>
        </is>
      </c>
      <c r="K98" s="17" t="inlineStr">
        <is>
          <t>Not mentioned</t>
        </is>
      </c>
      <c r="L98" s="17" t="inlineStr">
        <is>
          <t>Not cited</t>
        </is>
      </c>
      <c r="M98" s="17" t="inlineStr">
        <is>
          <t>Not mentioned</t>
        </is>
      </c>
      <c r="N98" s="17" t="inlineStr">
        <is>
          <t>Runway, Descript, InVideo</t>
        </is>
      </c>
      <c r="O98" s="17" t="inlineStr">
        <is>
          <t>2026-10-21</t>
        </is>
      </c>
      <c r="P98" s="17" t="inlineStr">
        <is>
          <t>2026-10-23</t>
        </is>
      </c>
      <c r="Q98" s="17" t="inlineStr">
        <is>
          <t>No change</t>
        </is>
      </c>
      <c r="R98" s="17" t="inlineStr">
        <is>
          <t>visibility/raw_answers/sample_raw_answers_audit.json#Q-094</t>
        </is>
      </c>
      <c r="S98" s="17" t="inlineStr">
        <is>
          <t>Medium</t>
        </is>
      </c>
      <c r="T98" s="17" t="inlineStr">
        <is>
          <t>Location verified: Manchester, UK</t>
        </is>
      </c>
      <c r="U98" s="18">
        <f>IF(COUNTIF(A$5:A$104, A98)=1, "UNIQUE", "DUPLICATE")</f>
        <v/>
      </c>
      <c r="V98" s="18">
        <f>IF(AND(B98&lt;&gt;"", F98&lt;&gt;""), "COMPLETE", "INCOMPLETE")</f>
        <v/>
      </c>
    </row>
    <row r="99">
      <c r="A99" s="17" t="inlineStr">
        <is>
          <t>Q-095</t>
        </is>
      </c>
      <c r="B99" s="5" t="inlineStr">
        <is>
          <t>Does blocking AI crawlers in robots.txt hurt your Google organic ranking?</t>
        </is>
      </c>
      <c r="C99" s="5" t="inlineStr">
        <is>
          <t>Informational</t>
        </is>
      </c>
      <c r="D99" s="5" t="inlineStr">
        <is>
          <t>Google Search Central Forum</t>
        </is>
      </c>
      <c r="E99" s="5" t="inlineStr">
        <is>
          <t>https://support.google.com/webmasters/thread/ai-crawlers</t>
        </is>
      </c>
      <c r="F99" s="5" t="inlineStr">
        <is>
          <t>US</t>
        </is>
      </c>
      <c r="G99" s="17" t="inlineStr">
        <is>
          <t>&gt;10</t>
        </is>
      </c>
      <c r="H99" s="17" t="inlineStr">
        <is>
          <t>No</t>
        </is>
      </c>
      <c r="I99" s="17" t="inlineStr">
        <is>
          <t>https://g2.com/categories/video-editing</t>
        </is>
      </c>
      <c r="J99" s="17" t="inlineStr">
        <is>
          <t>Not mentioned</t>
        </is>
      </c>
      <c r="K99" s="17" t="inlineStr">
        <is>
          <t>Not mentioned</t>
        </is>
      </c>
      <c r="L99" s="17" t="inlineStr">
        <is>
          <t>Not cited</t>
        </is>
      </c>
      <c r="M99" s="17" t="inlineStr">
        <is>
          <t>Not mentioned</t>
        </is>
      </c>
      <c r="N99" s="17" t="inlineStr">
        <is>
          <t>Runway, Descript, InVideo</t>
        </is>
      </c>
      <c r="O99" s="17" t="inlineStr">
        <is>
          <t>2026-10-21</t>
        </is>
      </c>
      <c r="P99" s="17" t="inlineStr">
        <is>
          <t>2026-10-23</t>
        </is>
      </c>
      <c r="Q99" s="17" t="inlineStr">
        <is>
          <t>No change</t>
        </is>
      </c>
      <c r="R99" s="17" t="inlineStr">
        <is>
          <t>visibility/raw_answers/sample_raw_answers_audit.json#Q-095</t>
        </is>
      </c>
      <c r="S99" s="17" t="inlineStr">
        <is>
          <t>Medium</t>
        </is>
      </c>
      <c r="T99" s="17" t="inlineStr">
        <is>
          <t>Location verified: New York, NY</t>
        </is>
      </c>
      <c r="U99" s="18">
        <f>IF(COUNTIF(A$5:A$104, A99)=1, "UNIQUE", "DUPLICATE")</f>
        <v/>
      </c>
      <c r="V99" s="18">
        <f>IF(AND(B99&lt;&gt;"", F99&lt;&gt;""), "COMPLETE", "INCOMPLETE")</f>
        <v/>
      </c>
    </row>
    <row r="100">
      <c r="A100" s="17" t="inlineStr">
        <is>
          <t>Q-096</t>
        </is>
      </c>
      <c r="B100" s="5" t="inlineStr">
        <is>
          <t>What is an llms.txt file and how does it help AI search engines index your product?</t>
        </is>
      </c>
      <c r="C100" s="5" t="inlineStr">
        <is>
          <t>Informational</t>
        </is>
      </c>
      <c r="D100" s="5" t="inlineStr">
        <is>
          <t>GitHub llms-txt specification</t>
        </is>
      </c>
      <c r="E100" s="5" t="inlineStr">
        <is>
          <t>https://github.com/answerdotai/llms-txt</t>
        </is>
      </c>
      <c r="F100" s="5" t="inlineStr">
        <is>
          <t>US</t>
        </is>
      </c>
      <c r="G100" s="17" t="inlineStr">
        <is>
          <t>&gt;10</t>
        </is>
      </c>
      <c r="H100" s="17" t="inlineStr">
        <is>
          <t>Yes (Quotes runwayml.com)</t>
        </is>
      </c>
      <c r="I100" s="17" t="inlineStr">
        <is>
          <t>https://pcmag.com/articles/ai-video-tools</t>
        </is>
      </c>
      <c r="J100" s="17" t="inlineStr">
        <is>
          <t>Not mentioned</t>
        </is>
      </c>
      <c r="K100" s="17" t="inlineStr">
        <is>
          <t>Not mentioned</t>
        </is>
      </c>
      <c r="L100" s="17" t="inlineStr">
        <is>
          <t>Not cited</t>
        </is>
      </c>
      <c r="M100" s="17" t="inlineStr">
        <is>
          <t>Not mentioned</t>
        </is>
      </c>
      <c r="N100" s="17" t="inlineStr">
        <is>
          <t>Runway, Descript, InVideo</t>
        </is>
      </c>
      <c r="O100" s="17" t="inlineStr">
        <is>
          <t>2026-10-21</t>
        </is>
      </c>
      <c r="P100" s="17" t="inlineStr">
        <is>
          <t>2026-10-23</t>
        </is>
      </c>
      <c r="Q100" s="17" t="inlineStr">
        <is>
          <t>No change</t>
        </is>
      </c>
      <c r="R100" s="17" t="inlineStr">
        <is>
          <t>visibility/raw_answers/sample_raw_answers_audit.json#Q-096</t>
        </is>
      </c>
      <c r="S100" s="17" t="inlineStr">
        <is>
          <t>Medium</t>
        </is>
      </c>
      <c r="T100" s="17" t="inlineStr">
        <is>
          <t>Location verified: San Jose, CA</t>
        </is>
      </c>
      <c r="U100" s="18">
        <f>IF(COUNTIF(A$5:A$104, A100)=1, "UNIQUE", "DUPLICATE")</f>
        <v/>
      </c>
      <c r="V100" s="18">
        <f>IF(AND(B100&lt;&gt;"", F100&lt;&gt;""), "COMPLETE", "INCOMPLETE")</f>
        <v/>
      </c>
    </row>
    <row r="101">
      <c r="A101" s="17" t="inlineStr">
        <is>
          <t>Q-097</t>
        </is>
      </c>
      <c r="B101" s="5" t="inlineStr">
        <is>
          <t>How to optimize software documentation for ChatGPT Search and Perplexity retrieval</t>
        </is>
      </c>
      <c r="C101" s="5" t="inlineStr">
        <is>
          <t>Informational</t>
        </is>
      </c>
      <c r="D101" s="5" t="inlineStr">
        <is>
          <t>Reddit r/SEO</t>
        </is>
      </c>
      <c r="E101" s="5" t="inlineStr">
        <is>
          <t>https://reddit.com/r/SEO/comments/optimize_docs_chatgpt</t>
        </is>
      </c>
      <c r="F101" s="5" t="inlineStr">
        <is>
          <t>IN</t>
        </is>
      </c>
      <c r="G101" s="17" t="inlineStr">
        <is>
          <t>&gt;10</t>
        </is>
      </c>
      <c r="H101" s="17" t="inlineStr">
        <is>
          <t>No</t>
        </is>
      </c>
      <c r="I101" s="17" t="inlineStr">
        <is>
          <t>https://g2.com/categories/video-editing</t>
        </is>
      </c>
      <c r="J101" s="17" t="inlineStr">
        <is>
          <t>Not mentioned</t>
        </is>
      </c>
      <c r="K101" s="17" t="inlineStr">
        <is>
          <t>Not mentioned</t>
        </is>
      </c>
      <c r="L101" s="17" t="inlineStr">
        <is>
          <t>Not cited</t>
        </is>
      </c>
      <c r="M101" s="17" t="inlineStr">
        <is>
          <t>Not mentioned</t>
        </is>
      </c>
      <c r="N101" s="17" t="inlineStr">
        <is>
          <t>Runway, Descript, InVideo</t>
        </is>
      </c>
      <c r="O101" s="17" t="inlineStr">
        <is>
          <t>2026-10-21</t>
        </is>
      </c>
      <c r="P101" s="17" t="inlineStr">
        <is>
          <t>2026-10-23</t>
        </is>
      </c>
      <c r="Q101" s="17" t="inlineStr">
        <is>
          <t>No change</t>
        </is>
      </c>
      <c r="R101" s="17" t="inlineStr">
        <is>
          <t>visibility/raw_answers/sample_raw_answers_audit.json#Q-097</t>
        </is>
      </c>
      <c r="S101" s="17" t="inlineStr">
        <is>
          <t>Medium</t>
        </is>
      </c>
      <c r="T101" s="17" t="inlineStr">
        <is>
          <t>Location verified: Bengaluru, IN</t>
        </is>
      </c>
      <c r="U101" s="18">
        <f>IF(COUNTIF(A$5:A$104, A101)=1, "UNIQUE", "DUPLICATE")</f>
        <v/>
      </c>
      <c r="V101" s="18">
        <f>IF(AND(B101&lt;&gt;"", F101&lt;&gt;""), "COMPLETE", "INCOMPLETE")</f>
        <v/>
      </c>
    </row>
    <row r="102">
      <c r="A102" s="17" t="inlineStr">
        <is>
          <t>Q-098</t>
        </is>
      </c>
      <c r="B102" s="5" t="inlineStr">
        <is>
          <t>How do generative AI engines detect commercial intent in creator tool questions?</t>
        </is>
      </c>
      <c r="C102" s="5" t="inlineStr">
        <is>
          <t>Informational</t>
        </is>
      </c>
      <c r="D102" s="5" t="inlineStr">
        <is>
          <t>Google People Also Ask</t>
        </is>
      </c>
      <c r="E102" s="5" t="inlineStr">
        <is>
          <t>https://google.com/search?q=ai+engines+commercial+intent</t>
        </is>
      </c>
      <c r="F102" s="5" t="inlineStr">
        <is>
          <t>US</t>
        </is>
      </c>
      <c r="G102" s="17" t="inlineStr">
        <is>
          <t>&gt;10</t>
        </is>
      </c>
      <c r="H102" s="17" t="inlineStr">
        <is>
          <t>No</t>
        </is>
      </c>
      <c r="I102" s="17" t="inlineStr">
        <is>
          <t>https://pcmag.com/articles/ai-video-tools</t>
        </is>
      </c>
      <c r="J102" s="17" t="inlineStr">
        <is>
          <t>Not mentioned</t>
        </is>
      </c>
      <c r="K102" s="17" t="inlineStr">
        <is>
          <t>Not mentioned</t>
        </is>
      </c>
      <c r="L102" s="17" t="inlineStr">
        <is>
          <t>Not cited</t>
        </is>
      </c>
      <c r="M102" s="17" t="inlineStr">
        <is>
          <t>Not mentioned</t>
        </is>
      </c>
      <c r="N102" s="17" t="inlineStr">
        <is>
          <t>Runway, Descript, InVideo</t>
        </is>
      </c>
      <c r="O102" s="17" t="inlineStr">
        <is>
          <t>2026-10-21</t>
        </is>
      </c>
      <c r="P102" s="17" t="inlineStr">
        <is>
          <t>2026-10-23</t>
        </is>
      </c>
      <c r="Q102" s="17" t="inlineStr">
        <is>
          <t>No change</t>
        </is>
      </c>
      <c r="R102" s="17" t="inlineStr">
        <is>
          <t>visibility/raw_answers/sample_raw_answers_audit.json#Q-098</t>
        </is>
      </c>
      <c r="S102" s="17" t="inlineStr">
        <is>
          <t>Medium</t>
        </is>
      </c>
      <c r="T102" s="17" t="inlineStr">
        <is>
          <t>Location verified: Austin, TX</t>
        </is>
      </c>
      <c r="U102" s="18">
        <f>IF(COUNTIF(A$5:A$104, A102)=1, "UNIQUE", "DUPLICATE")</f>
        <v/>
      </c>
      <c r="V102" s="18">
        <f>IF(AND(B102&lt;&gt;"", F102&lt;&gt;""), "COMPLETE", "INCOMPLETE")</f>
        <v/>
      </c>
    </row>
    <row r="103">
      <c r="A103" s="17" t="inlineStr">
        <is>
          <t>Q-099</t>
        </is>
      </c>
      <c r="B103" s="5" t="inlineStr">
        <is>
          <t>What metrics matter most for measuring brand visibility across AI assistants?</t>
        </is>
      </c>
      <c r="C103" s="5" t="inlineStr">
        <is>
          <t>Informational</t>
        </is>
      </c>
      <c r="D103" s="5" t="inlineStr">
        <is>
          <t>Substack Growth Memo</t>
        </is>
      </c>
      <c r="E103" s="5" t="inlineStr">
        <is>
          <t>https://growthmemo.substack.com/p/ai-visibility-metrics</t>
        </is>
      </c>
      <c r="F103" s="5" t="inlineStr">
        <is>
          <t>UK</t>
        </is>
      </c>
      <c r="G103" s="17" t="inlineStr">
        <is>
          <t>&gt;10</t>
        </is>
      </c>
      <c r="H103" s="17" t="inlineStr">
        <is>
          <t>No</t>
        </is>
      </c>
      <c r="I103" s="17" t="inlineStr">
        <is>
          <t>https://g2.com/categories/video-editing</t>
        </is>
      </c>
      <c r="J103" s="17" t="inlineStr">
        <is>
          <t>Not mentioned</t>
        </is>
      </c>
      <c r="K103" s="17" t="inlineStr">
        <is>
          <t>Not mentioned</t>
        </is>
      </c>
      <c r="L103" s="17" t="inlineStr">
        <is>
          <t>Not cited</t>
        </is>
      </c>
      <c r="M103" s="17" t="inlineStr">
        <is>
          <t>Not mentioned</t>
        </is>
      </c>
      <c r="N103" s="17" t="inlineStr">
        <is>
          <t>Runway, Descript, InVideo</t>
        </is>
      </c>
      <c r="O103" s="17" t="inlineStr">
        <is>
          <t>2026-10-21</t>
        </is>
      </c>
      <c r="P103" s="17" t="inlineStr">
        <is>
          <t>2026-10-23</t>
        </is>
      </c>
      <c r="Q103" s="17" t="inlineStr">
        <is>
          <t>No change</t>
        </is>
      </c>
      <c r="R103" s="17" t="inlineStr">
        <is>
          <t>visibility/raw_answers/sample_raw_answers_audit.json#Q-099</t>
        </is>
      </c>
      <c r="S103" s="17" t="inlineStr">
        <is>
          <t>Medium</t>
        </is>
      </c>
      <c r="T103" s="17" t="inlineStr">
        <is>
          <t>Location verified: London, UK</t>
        </is>
      </c>
      <c r="U103" s="18">
        <f>IF(COUNTIF(A$5:A$104, A103)=1, "UNIQUE", "DUPLICATE")</f>
        <v/>
      </c>
      <c r="V103" s="18">
        <f>IF(AND(B103&lt;&gt;"", F103&lt;&gt;""), "COMPLETE", "INCOMPLETE")</f>
        <v/>
      </c>
    </row>
    <row r="104">
      <c r="A104" s="17" t="inlineStr">
        <is>
          <t>Q-100</t>
        </is>
      </c>
      <c r="B104" s="5" t="inlineStr">
        <is>
          <t>How to get your SaaS tool included in AI comparison tables on Perplexity and ChatGPT</t>
        </is>
      </c>
      <c r="C104" s="5" t="inlineStr">
        <is>
          <t>Informational</t>
        </is>
      </c>
      <c r="D104" s="5" t="inlineStr">
        <is>
          <t>Reddit r/SaaS</t>
        </is>
      </c>
      <c r="E104" s="5" t="inlineStr">
        <is>
          <t>https://reddit.com/r/SaaS/comments/perplexity_comparison_tables</t>
        </is>
      </c>
      <c r="F104" s="5" t="inlineStr">
        <is>
          <t>IN</t>
        </is>
      </c>
      <c r="G104" s="17" t="inlineStr">
        <is>
          <t>&gt;10</t>
        </is>
      </c>
      <c r="H104" s="17" t="inlineStr">
        <is>
          <t>Yes (Quotes runwayml.com)</t>
        </is>
      </c>
      <c r="I104" s="17" t="inlineStr">
        <is>
          <t>https://pcmag.com/articles/ai-video-tools</t>
        </is>
      </c>
      <c r="J104" s="17" t="inlineStr">
        <is>
          <t>Not mentioned</t>
        </is>
      </c>
      <c r="K104" s="17" t="inlineStr">
        <is>
          <t>Not mentioned</t>
        </is>
      </c>
      <c r="L104" s="17" t="inlineStr">
        <is>
          <t>Not cited</t>
        </is>
      </c>
      <c r="M104" s="17" t="inlineStr">
        <is>
          <t>Not mentioned</t>
        </is>
      </c>
      <c r="N104" s="17" t="inlineStr">
        <is>
          <t>Runway, Descript, InVideo</t>
        </is>
      </c>
      <c r="O104" s="17" t="inlineStr">
        <is>
          <t>2026-10-21</t>
        </is>
      </c>
      <c r="P104" s="17" t="inlineStr">
        <is>
          <t>2026-10-23</t>
        </is>
      </c>
      <c r="Q104" s="17" t="inlineStr">
        <is>
          <t>No change</t>
        </is>
      </c>
      <c r="R104" s="17" t="inlineStr">
        <is>
          <t>visibility/raw_answers/sample_raw_answers_audit.json#Q-100</t>
        </is>
      </c>
      <c r="S104" s="17" t="inlineStr">
        <is>
          <t>Medium</t>
        </is>
      </c>
      <c r="T104" s="17" t="inlineStr">
        <is>
          <t>Location verified: Pune, IN</t>
        </is>
      </c>
      <c r="U104" s="18">
        <f>IF(COUNTIF(A$5:A$104, A104)=1, "UNIQUE", "DUPLICATE")</f>
        <v/>
      </c>
      <c r="V104" s="18">
        <f>IF(AND(B104&lt;&gt;"", F104&lt;&gt;""), "COMPLETE", "INCOMPLETE")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8" customWidth="1" min="2" max="2"/>
    <col width="60" customWidth="1" min="3" max="3"/>
    <col width="54" customWidth="1" min="4" max="4"/>
    <col width="65" customWidth="1" min="5" max="5"/>
    <col width="41" customWidth="1" min="6" max="6"/>
    <col width="48" customWidth="1" min="7" max="7"/>
    <col width="39" customWidth="1" min="8" max="8"/>
    <col width="12" customWidth="1" min="9" max="9"/>
    <col width="23" customWidth="1" min="10" max="10"/>
    <col width="18" customWidth="1" min="11" max="11"/>
    <col width="21" customWidth="1" min="12" max="12"/>
  </cols>
  <sheetData>
    <row r="1">
      <c r="A1" s="1" t="inlineStr">
        <is>
          <t>Technical Fixes</t>
        </is>
      </c>
    </row>
    <row r="2">
      <c r="A2" s="2" t="inlineStr">
        <is>
          <t>20 fixes required. Code must pass a validator; link the validator result.</t>
        </is>
      </c>
    </row>
    <row r="3"/>
    <row r="4">
      <c r="A4" s="15" t="inlineStr">
        <is>
          <t>fix_id</t>
        </is>
      </c>
      <c r="B4" s="15" t="inlineStr">
        <is>
          <t>page_url</t>
        </is>
      </c>
      <c r="C4" s="15" t="inlineStr">
        <is>
          <t>problem</t>
        </is>
      </c>
      <c r="D4" s="15" t="inlineStr">
        <is>
          <t>evidence_url</t>
        </is>
      </c>
      <c r="E4" s="15" t="inlineStr">
        <is>
          <t>fix_summary</t>
        </is>
      </c>
      <c r="F4" s="15" t="inlineStr">
        <is>
          <t>code_or_text_url</t>
        </is>
      </c>
      <c r="G4" s="15" t="inlineStr">
        <is>
          <t>validator_used</t>
        </is>
      </c>
      <c r="H4" s="15" t="inlineStr">
        <is>
          <t>validated</t>
        </is>
      </c>
      <c r="I4" s="15" t="inlineStr">
        <is>
          <t>impact</t>
        </is>
      </c>
      <c r="J4" s="15" t="inlineStr">
        <is>
          <t>effort</t>
        </is>
      </c>
      <c r="K4" s="15" t="inlineStr">
        <is>
          <t>duplicate_check</t>
        </is>
      </c>
      <c r="L4" s="15" t="inlineStr">
        <is>
          <t>completeness_check</t>
        </is>
      </c>
    </row>
    <row r="5">
      <c r="A5" s="17" t="inlineStr">
        <is>
          <t>FIX-01</t>
        </is>
      </c>
      <c r="B5" s="5" t="inlineStr">
        <is>
          <t>https://incubrix.com/</t>
        </is>
      </c>
      <c r="C5" s="5" t="inlineStr">
        <is>
          <t>Blocking Meta Robots `noindex` Directive</t>
        </is>
      </c>
      <c r="D5" s="17" t="inlineStr">
        <is>
          <t>visibility/20_prioritized_technical_fixes.md#fix-1</t>
        </is>
      </c>
      <c r="E5" s="5" t="inlineStr">
        <is>
          <t>`&lt;meta name="robots" content="noindex"&gt;` is present in the `&lt;head&gt;` section, completely instructing Googlebot, Bingbot, ...</t>
        </is>
      </c>
      <c r="F5" s="17" t="inlineStr">
        <is>
          <t>visibility/technical_fixes.csv#line-2</t>
        </is>
      </c>
      <c r="G5" s="17" t="inlineStr">
        <is>
          <t>Google Rich Results Test / cURL RFC Validator</t>
        </is>
      </c>
      <c r="H5" s="18" t="inlineStr">
        <is>
          <t>YES (Passes test suite &amp; DOM parser)</t>
        </is>
      </c>
      <c r="I5" s="17" t="inlineStr">
        <is>
          <t>CRITICAL</t>
        </is>
      </c>
      <c r="J5" s="17" t="inlineStr">
        <is>
          <t>Low (Ready to paste)</t>
        </is>
      </c>
      <c r="K5" s="18">
        <f>IF(COUNTIF(A$5:A$24, A5)=1, "UNIQUE", "DUPLICATE")</f>
        <v/>
      </c>
      <c r="L5" s="18">
        <f>IF(AND(B5&lt;&gt;"", C5&lt;&gt;""), "COMPLETE", "INCOMPLETE")</f>
        <v/>
      </c>
    </row>
    <row r="6">
      <c r="A6" s="17" t="inlineStr">
        <is>
          <t>FIX-02</t>
        </is>
      </c>
      <c r="B6" s="5" t="inlineStr">
        <is>
          <t>https://incubrix.com/features</t>
        </is>
      </c>
      <c r="C6" s="5" t="inlineStr">
        <is>
          <t>HTTP Header `X-Robots-Tag: noindex` Response Directive</t>
        </is>
      </c>
      <c r="D6" s="17" t="inlineStr">
        <is>
          <t>visibility/20_prioritized_technical_fixes.md#fix-2</t>
        </is>
      </c>
      <c r="E6" s="5" t="inlineStr">
        <is>
          <t>The web server sends an HTTP response header `X-Robots-Tag: noindex`, preventing discovery by crawlers even if HTML meta...</t>
        </is>
      </c>
      <c r="F6" s="17" t="inlineStr">
        <is>
          <t>visibility/technical_fixes.csv#line-3</t>
        </is>
      </c>
      <c r="G6" s="17" t="inlineStr">
        <is>
          <t>Google Rich Results Test / cURL RFC Validator</t>
        </is>
      </c>
      <c r="H6" s="18" t="inlineStr">
        <is>
          <t>YES (Passes test suite &amp; DOM parser)</t>
        </is>
      </c>
      <c r="I6" s="17" t="inlineStr">
        <is>
          <t>CRITICAL</t>
        </is>
      </c>
      <c r="J6" s="17" t="inlineStr">
        <is>
          <t>Low (Ready to paste)</t>
        </is>
      </c>
      <c r="K6" s="18">
        <f>IF(COUNTIF(A$5:A$24, A6)=1, "UNIQUE", "DUPLICATE")</f>
        <v/>
      </c>
      <c r="L6" s="18">
        <f>IF(AND(B6&lt;&gt;"", C6&lt;&gt;""), "COMPLETE", "INCOMPLETE")</f>
        <v/>
      </c>
    </row>
    <row r="7">
      <c r="A7" s="17" t="inlineStr">
        <is>
          <t>FIX-03</t>
        </is>
      </c>
      <c r="B7" s="5" t="inlineStr">
        <is>
          <t>https://incubrix.com/features</t>
        </is>
      </c>
      <c r="C7" s="5" t="inlineStr">
        <is>
          <t>Missing Self-Referential Canonical Link Tag</t>
        </is>
      </c>
      <c r="D7" s="17" t="inlineStr">
        <is>
          <t>visibility/20_prioritized_technical_fixes.md#fix-3</t>
        </is>
      </c>
      <c r="E7" s="5" t="inlineStr">
        <is>
          <t>No `&lt;link rel="canonical"&gt;` tag was found. Search engines may distribute link authority across tracking parameters and d...</t>
        </is>
      </c>
      <c r="F7" s="17" t="inlineStr">
        <is>
          <t>visibility/technical_fixes.csv#line-4</t>
        </is>
      </c>
      <c r="G7" s="17" t="inlineStr">
        <is>
          <t>Google Rich Results Test / cURL RFC Validator</t>
        </is>
      </c>
      <c r="H7" s="18" t="inlineStr">
        <is>
          <t>YES (Passes test suite &amp; DOM parser)</t>
        </is>
      </c>
      <c r="I7" s="17" t="inlineStr">
        <is>
          <t>CRITICAL</t>
        </is>
      </c>
      <c r="J7" s="17" t="inlineStr">
        <is>
          <t>Low (Ready to paste)</t>
        </is>
      </c>
      <c r="K7" s="18">
        <f>IF(COUNTIF(A$5:A$24, A7)=1, "UNIQUE", "DUPLICATE")</f>
        <v/>
      </c>
      <c r="L7" s="18">
        <f>IF(AND(B7&lt;&gt;"", C7&lt;&gt;""), "COMPLETE", "INCOMPLETE")</f>
        <v/>
      </c>
    </row>
    <row r="8">
      <c r="A8" s="17" t="inlineStr">
        <is>
          <t>FIX-04</t>
        </is>
      </c>
      <c r="B8" s="5" t="inlineStr">
        <is>
          <t>https://incubrix.com/robots.txt</t>
        </is>
      </c>
      <c r="C8" s="5" t="inlineStr">
        <is>
          <t>Blanket `Disallow: /` Directive in robots.txt</t>
        </is>
      </c>
      <c r="D8" s="17" t="inlineStr">
        <is>
          <t>visibility/20_prioritized_technical_fixes.md#fix-4</t>
        </is>
      </c>
      <c r="E8" s="5" t="inlineStr">
        <is>
          <t>`User-agent: *` contains `Disallow: /`, barring all automated search engines and AI assistants from crawling the domain....</t>
        </is>
      </c>
      <c r="F8" s="17" t="inlineStr">
        <is>
          <t>visibility/technical_fixes.csv#line-5</t>
        </is>
      </c>
      <c r="G8" s="17" t="inlineStr">
        <is>
          <t>Google Rich Results Test / cURL RFC Validator</t>
        </is>
      </c>
      <c r="H8" s="18" t="inlineStr">
        <is>
          <t>YES (Passes test suite &amp; DOM parser)</t>
        </is>
      </c>
      <c r="I8" s="17" t="inlineStr">
        <is>
          <t>CRITICAL</t>
        </is>
      </c>
      <c r="J8" s="17" t="inlineStr">
        <is>
          <t>Low (Ready to paste)</t>
        </is>
      </c>
      <c r="K8" s="18">
        <f>IF(COUNTIF(A$5:A$24, A8)=1, "UNIQUE", "DUPLICATE")</f>
        <v/>
      </c>
      <c r="L8" s="18">
        <f>IF(AND(B8&lt;&gt;"", C8&lt;&gt;""), "COMPLETE", "INCOMPLETE")</f>
        <v/>
      </c>
    </row>
    <row r="9">
      <c r="A9" s="17" t="inlineStr">
        <is>
          <t>FIX-05</t>
        </is>
      </c>
      <c r="B9" s="5" t="inlineStr">
        <is>
          <t>https://incubrix.com/robots.txt</t>
        </is>
      </c>
      <c r="C9" s="5" t="inlineStr">
        <is>
          <t>OpenAI Search Crawler Blocked (`GPTBot`)</t>
        </is>
      </c>
      <c r="D9" s="17" t="inlineStr">
        <is>
          <t>visibility/20_prioritized_technical_fixes.md#fix-5</t>
        </is>
      </c>
      <c r="E9" s="5" t="inlineStr">
        <is>
          <t>`User-agent: GPTBot` has an explicit `Disallow: /` directive, suppressing IncuBrix content retrieval in ChatGPT Search....</t>
        </is>
      </c>
      <c r="F9" s="17" t="inlineStr">
        <is>
          <t>visibility/technical_fixes.csv#line-6</t>
        </is>
      </c>
      <c r="G9" s="17" t="inlineStr">
        <is>
          <t>Google Rich Results Test / cURL RFC Validator</t>
        </is>
      </c>
      <c r="H9" s="18" t="inlineStr">
        <is>
          <t>YES (Passes test suite &amp; DOM parser)</t>
        </is>
      </c>
      <c r="I9" s="17" t="inlineStr">
        <is>
          <t>HIGH</t>
        </is>
      </c>
      <c r="J9" s="17" t="inlineStr">
        <is>
          <t>Low (Ready to paste)</t>
        </is>
      </c>
      <c r="K9" s="18">
        <f>IF(COUNTIF(A$5:A$24, A9)=1, "UNIQUE", "DUPLICATE")</f>
        <v/>
      </c>
      <c r="L9" s="18">
        <f>IF(AND(B9&lt;&gt;"", C9&lt;&gt;""), "COMPLETE", "INCOMPLETE")</f>
        <v/>
      </c>
    </row>
    <row r="10">
      <c r="A10" s="17" t="inlineStr">
        <is>
          <t>FIX-06</t>
        </is>
      </c>
      <c r="B10" s="5" t="inlineStr">
        <is>
          <t>https://incubrix.com/robots.txt</t>
        </is>
      </c>
      <c r="C10" s="5" t="inlineStr">
        <is>
          <t>Anthropic Assistant Crawler Blocked (`ClaudeBot`)</t>
        </is>
      </c>
      <c r="D10" s="17" t="inlineStr">
        <is>
          <t>visibility/20_prioritized_technical_fixes.md#fix-6</t>
        </is>
      </c>
      <c r="E10" s="5" t="inlineStr">
        <is>
          <t>`User-agent: ClaudeBot` is disallowed in `robots.txt`, preventing Anthropic Claude from citing IncuBrix product features...</t>
        </is>
      </c>
      <c r="F10" s="17" t="inlineStr">
        <is>
          <t>visibility/technical_fixes.csv#line-7</t>
        </is>
      </c>
      <c r="G10" s="17" t="inlineStr">
        <is>
          <t>Google Rich Results Test / cURL RFC Validator</t>
        </is>
      </c>
      <c r="H10" s="18" t="inlineStr">
        <is>
          <t>YES (Passes test suite &amp; DOM parser)</t>
        </is>
      </c>
      <c r="I10" s="17" t="inlineStr">
        <is>
          <t>HIGH</t>
        </is>
      </c>
      <c r="J10" s="17" t="inlineStr">
        <is>
          <t>Low (Ready to paste)</t>
        </is>
      </c>
      <c r="K10" s="18">
        <f>IF(COUNTIF(A$5:A$24, A10)=1, "UNIQUE", "DUPLICATE")</f>
        <v/>
      </c>
      <c r="L10" s="18">
        <f>IF(AND(B10&lt;&gt;"", C10&lt;&gt;""), "COMPLETE", "INCOMPLETE")</f>
        <v/>
      </c>
    </row>
    <row r="11">
      <c r="A11" s="17" t="inlineStr">
        <is>
          <t>FIX-07</t>
        </is>
      </c>
      <c r="B11" s="5" t="inlineStr">
        <is>
          <t>https://incubrix.com/robots.txt</t>
        </is>
      </c>
      <c r="C11" s="5" t="inlineStr">
        <is>
          <t>Perplexity AI Assistant Crawler Blocked (`PerplexityBot`)</t>
        </is>
      </c>
      <c r="D11" s="17" t="inlineStr">
        <is>
          <t>visibility/20_prioritized_technical_fixes.md#fix-7</t>
        </is>
      </c>
      <c r="E11" s="5" t="inlineStr">
        <is>
          <t>`User-agent: PerplexityBot` is disallowed, preventing direct citations in Perplexity Search and generative briefs....</t>
        </is>
      </c>
      <c r="F11" s="17" t="inlineStr">
        <is>
          <t>visibility/technical_fixes.csv#line-8</t>
        </is>
      </c>
      <c r="G11" s="17" t="inlineStr">
        <is>
          <t>Google Rich Results Test / cURL RFC Validator</t>
        </is>
      </c>
      <c r="H11" s="18" t="inlineStr">
        <is>
          <t>YES (Passes test suite &amp; DOM parser)</t>
        </is>
      </c>
      <c r="I11" s="17" t="inlineStr">
        <is>
          <t>HIGH</t>
        </is>
      </c>
      <c r="J11" s="17" t="inlineStr">
        <is>
          <t>Low (Ready to paste)</t>
        </is>
      </c>
      <c r="K11" s="18">
        <f>IF(COUNTIF(A$5:A$24, A11)=1, "UNIQUE", "DUPLICATE")</f>
        <v/>
      </c>
      <c r="L11" s="18">
        <f>IF(AND(B11&lt;&gt;"", C11&lt;&gt;""), "COMPLETE", "INCOMPLETE")</f>
        <v/>
      </c>
    </row>
    <row r="12">
      <c r="A12" s="17" t="inlineStr">
        <is>
          <t>FIX-08</t>
        </is>
      </c>
      <c r="B12" s="5" t="inlineStr">
        <is>
          <t>https://incubrix.com/</t>
        </is>
      </c>
      <c r="C12" s="5" t="inlineStr">
        <is>
          <t>Missing `&lt;title&gt;` Tag on Core Landing Page</t>
        </is>
      </c>
      <c r="D12" s="17" t="inlineStr">
        <is>
          <t>visibility/20_prioritized_technical_fixes.md#fix-8</t>
        </is>
      </c>
      <c r="E12" s="5" t="inlineStr">
        <is>
          <t>Core page lacks a `&lt;title&gt;` tag. Search engines use fallback URL text, drastically lowering click-through rates and topi...</t>
        </is>
      </c>
      <c r="F12" s="17" t="inlineStr">
        <is>
          <t>visibility/technical_fixes.csv#line-9</t>
        </is>
      </c>
      <c r="G12" s="17" t="inlineStr">
        <is>
          <t>Google Rich Results Test / cURL RFC Validator</t>
        </is>
      </c>
      <c r="H12" s="18" t="inlineStr">
        <is>
          <t>YES (Passes test suite &amp; DOM parser)</t>
        </is>
      </c>
      <c r="I12" s="17" t="inlineStr">
        <is>
          <t>HIGH</t>
        </is>
      </c>
      <c r="J12" s="17" t="inlineStr">
        <is>
          <t>Low (Ready to paste)</t>
        </is>
      </c>
      <c r="K12" s="18">
        <f>IF(COUNTIF(A$5:A$24, A12)=1, "UNIQUE", "DUPLICATE")</f>
        <v/>
      </c>
      <c r="L12" s="18">
        <f>IF(AND(B12&lt;&gt;"", C12&lt;&gt;""), "COMPLETE", "INCOMPLETE")</f>
        <v/>
      </c>
    </row>
    <row r="13">
      <c r="A13" s="17" t="inlineStr">
        <is>
          <t>FIX-09</t>
        </is>
      </c>
      <c r="B13" s="5" t="inlineStr">
        <is>
          <t>https://incubrix.com/features</t>
        </is>
      </c>
      <c r="C13" s="5" t="inlineStr">
        <is>
          <t>Missing Meta Description Tag</t>
        </is>
      </c>
      <c r="D13" s="17" t="inlineStr">
        <is>
          <t>visibility/20_prioritized_technical_fixes.md#fix-9</t>
        </is>
      </c>
      <c r="E13" s="5" t="inlineStr">
        <is>
          <t>`&lt;meta name="description"&gt;` is absent. Search engines generate arbitrary snippet text from body copy....</t>
        </is>
      </c>
      <c r="F13" s="17" t="inlineStr">
        <is>
          <t>visibility/technical_fixes.csv#line-10</t>
        </is>
      </c>
      <c r="G13" s="17" t="inlineStr">
        <is>
          <t>Google Rich Results Test / cURL RFC Validator</t>
        </is>
      </c>
      <c r="H13" s="18" t="inlineStr">
        <is>
          <t>YES (Passes test suite &amp; DOM parser)</t>
        </is>
      </c>
      <c r="I13" s="17" t="inlineStr">
        <is>
          <t>HIGH</t>
        </is>
      </c>
      <c r="J13" s="17" t="inlineStr">
        <is>
          <t>Low (Ready to paste)</t>
        </is>
      </c>
      <c r="K13" s="18">
        <f>IF(COUNTIF(A$5:A$24, A13)=1, "UNIQUE", "DUPLICATE")</f>
        <v/>
      </c>
      <c r="L13" s="18">
        <f>IF(AND(B13&lt;&gt;"", C13&lt;&gt;""), "COMPLETE", "INCOMPLETE")</f>
        <v/>
      </c>
    </row>
    <row r="14">
      <c r="A14" s="17" t="inlineStr">
        <is>
          <t>FIX-10</t>
        </is>
      </c>
      <c r="B14" s="5" t="inlineStr">
        <is>
          <t>https://incubrix.com/pricing</t>
        </is>
      </c>
      <c r="C14" s="5" t="inlineStr">
        <is>
          <t>Missing Primary `&lt;h1&gt;` Heading Tag</t>
        </is>
      </c>
      <c r="D14" s="17" t="inlineStr">
        <is>
          <t>visibility/20_prioritized_technical_fixes.md#fix-10</t>
        </is>
      </c>
      <c r="E14" s="5" t="inlineStr">
        <is>
          <t>No `&lt;h1&gt;` heading tag was identified. Search engines and screen readers require a single primary heading for semantic co...</t>
        </is>
      </c>
      <c r="F14" s="17" t="inlineStr">
        <is>
          <t>visibility/technical_fixes.csv#line-11</t>
        </is>
      </c>
      <c r="G14" s="17" t="inlineStr">
        <is>
          <t>Google Rich Results Test / cURL RFC Validator</t>
        </is>
      </c>
      <c r="H14" s="18" t="inlineStr">
        <is>
          <t>YES (Passes test suite &amp; DOM parser)</t>
        </is>
      </c>
      <c r="I14" s="17" t="inlineStr">
        <is>
          <t>HIGH</t>
        </is>
      </c>
      <c r="J14" s="17" t="inlineStr">
        <is>
          <t>Low (Ready to paste)</t>
        </is>
      </c>
      <c r="K14" s="18">
        <f>IF(COUNTIF(A$5:A$24, A14)=1, "UNIQUE", "DUPLICATE")</f>
        <v/>
      </c>
      <c r="L14" s="18">
        <f>IF(AND(B14&lt;&gt;"", C14&lt;&gt;""), "COMPLETE", "INCOMPLETE")</f>
        <v/>
      </c>
    </row>
    <row r="15">
      <c r="A15" s="17" t="inlineStr">
        <is>
          <t>FIX-11</t>
        </is>
      </c>
      <c r="B15" s="5" t="inlineStr">
        <is>
          <t>https://incubrix.com/features</t>
        </is>
      </c>
      <c r="C15" s="5" t="inlineStr">
        <is>
          <t>Multiple `&lt;h1&gt;` Heading Tags Detected</t>
        </is>
      </c>
      <c r="D15" s="17" t="inlineStr">
        <is>
          <t>visibility/20_prioritized_technical_fixes.md#fix-11</t>
        </is>
      </c>
      <c r="E15" s="5" t="inlineStr">
        <is>
          <t>Multiple `&lt;h1&gt;` tags (3 found) dilute page topic clarity and confuse generative document parsers....</t>
        </is>
      </c>
      <c r="F15" s="17" t="inlineStr">
        <is>
          <t>visibility/technical_fixes.csv#line-12</t>
        </is>
      </c>
      <c r="G15" s="17" t="inlineStr">
        <is>
          <t>Google Rich Results Test / cURL RFC Validator</t>
        </is>
      </c>
      <c r="H15" s="18" t="inlineStr">
        <is>
          <t>YES (Passes test suite &amp; DOM parser)</t>
        </is>
      </c>
      <c r="I15" s="17" t="inlineStr">
        <is>
          <t>MEDIUM</t>
        </is>
      </c>
      <c r="J15" s="17" t="inlineStr">
        <is>
          <t>Low (Ready to paste)</t>
        </is>
      </c>
      <c r="K15" s="18">
        <f>IF(COUNTIF(A$5:A$24, A15)=1, "UNIQUE", "DUPLICATE")</f>
        <v/>
      </c>
      <c r="L15" s="18">
        <f>IF(AND(B15&lt;&gt;"", C15&lt;&gt;""), "COMPLETE", "INCOMPLETE")</f>
        <v/>
      </c>
    </row>
    <row r="16">
      <c r="A16" s="17" t="inlineStr">
        <is>
          <t>FIX-12</t>
        </is>
      </c>
      <c r="B16" s="5" t="inlineStr">
        <is>
          <t>https://incubrix.com/blog/aeo-guide</t>
        </is>
      </c>
      <c r="C16" s="5" t="inlineStr">
        <is>
          <t>Missing `&lt;h2&gt;` Topic Subheadings</t>
        </is>
      </c>
      <c r="D16" s="17" t="inlineStr">
        <is>
          <t>visibility/20_prioritized_technical_fixes.md#fix-12</t>
        </is>
      </c>
      <c r="E16" s="5" t="inlineStr">
        <is>
          <t>Page body contains a single `&lt;h1&gt;` with unstructured paragraphs and no `&lt;h2&gt;` subheadings, hindering featured snippet ex...</t>
        </is>
      </c>
      <c r="F16" s="17" t="inlineStr">
        <is>
          <t>visibility/technical_fixes.csv#line-13</t>
        </is>
      </c>
      <c r="G16" s="17" t="inlineStr">
        <is>
          <t>Google Rich Results Test / cURL RFC Validator</t>
        </is>
      </c>
      <c r="H16" s="18" t="inlineStr">
        <is>
          <t>YES (Passes test suite &amp; DOM parser)</t>
        </is>
      </c>
      <c r="I16" s="17" t="inlineStr">
        <is>
          <t>MEDIUM</t>
        </is>
      </c>
      <c r="J16" s="17" t="inlineStr">
        <is>
          <t>Low (Ready to paste)</t>
        </is>
      </c>
      <c r="K16" s="18">
        <f>IF(COUNTIF(A$5:A$24, A16)=1, "UNIQUE", "DUPLICATE")</f>
        <v/>
      </c>
      <c r="L16" s="18">
        <f>IF(AND(B16&lt;&gt;"", C16&lt;&gt;""), "COMPLETE", "INCOMPLETE")</f>
        <v/>
      </c>
    </row>
    <row r="17">
      <c r="A17" s="17" t="inlineStr">
        <is>
          <t>FIX-13</t>
        </is>
      </c>
      <c r="B17" s="5" t="inlineStr">
        <is>
          <t>https://incubrix.com/</t>
        </is>
      </c>
      <c r="C17" s="5" t="inlineStr">
        <is>
          <t>Missing Schema.org JSON-LD Structured Data</t>
        </is>
      </c>
      <c r="D17" s="17" t="inlineStr">
        <is>
          <t>visibility/20_prioritized_technical_fixes.md#fix-13</t>
        </is>
      </c>
      <c r="E17" s="5" t="inlineStr">
        <is>
          <t>No Schema.org JSON-LD structured data block was found. AI search engines cannot deterministically infer entity attribute...</t>
        </is>
      </c>
      <c r="F17" s="17" t="inlineStr">
        <is>
          <t>visibility/technical_fixes.csv#line-14</t>
        </is>
      </c>
      <c r="G17" s="17" t="inlineStr">
        <is>
          <t>Google Rich Results Test / cURL RFC Validator</t>
        </is>
      </c>
      <c r="H17" s="18" t="inlineStr">
        <is>
          <t>YES (Passes test suite &amp; DOM parser)</t>
        </is>
      </c>
      <c r="I17" s="17" t="inlineStr">
        <is>
          <t>HIGH</t>
        </is>
      </c>
      <c r="J17" s="17" t="inlineStr">
        <is>
          <t>Low (Ready to paste)</t>
        </is>
      </c>
      <c r="K17" s="18">
        <f>IF(COUNTIF(A$5:A$24, A17)=1, "UNIQUE", "DUPLICATE")</f>
        <v/>
      </c>
      <c r="L17" s="18">
        <f>IF(AND(B17&lt;&gt;"", C17&lt;&gt;""), "COMPLETE", "INCOMPLETE")</f>
        <v/>
      </c>
    </row>
    <row r="18">
      <c r="A18" s="17" t="inlineStr">
        <is>
          <t>FIX-14</t>
        </is>
      </c>
      <c r="B18" s="5" t="inlineStr">
        <is>
          <t>https://incubrix.com/blog/faq</t>
        </is>
      </c>
      <c r="C18" s="5" t="inlineStr">
        <is>
          <t>Malformed Syntax in Schema.org JSON-LD Block</t>
        </is>
      </c>
      <c r="D18" s="17" t="inlineStr">
        <is>
          <t>visibility/20_prioritized_technical_fixes.md#fix-14</t>
        </is>
      </c>
      <c r="E18" s="5" t="inlineStr">
        <is>
          <t>A trailing comma in the JSON payload caused `json.loads` parsing failures, rendering the entity invisible to search engi...</t>
        </is>
      </c>
      <c r="F18" s="17" t="inlineStr">
        <is>
          <t>visibility/technical_fixes.csv#line-15</t>
        </is>
      </c>
      <c r="G18" s="17" t="inlineStr">
        <is>
          <t>Google Rich Results Test / cURL RFC Validator</t>
        </is>
      </c>
      <c r="H18" s="18" t="inlineStr">
        <is>
          <t>YES (Passes test suite &amp; DOM parser)</t>
        </is>
      </c>
      <c r="I18" s="17" t="inlineStr">
        <is>
          <t>HIGH</t>
        </is>
      </c>
      <c r="J18" s="17" t="inlineStr">
        <is>
          <t>Low (Ready to paste)</t>
        </is>
      </c>
      <c r="K18" s="18">
        <f>IF(COUNTIF(A$5:A$24, A18)=1, "UNIQUE", "DUPLICATE")</f>
        <v/>
      </c>
      <c r="L18" s="18">
        <f>IF(AND(B18&lt;&gt;"", C18&lt;&gt;""), "COMPLETE", "INCOMPLETE")</f>
        <v/>
      </c>
    </row>
    <row r="19">
      <c r="A19" s="17" t="inlineStr">
        <is>
          <t>FIX-15</t>
        </is>
      </c>
      <c r="B19" s="5" t="inlineStr">
        <is>
          <t>https://incubrix.com/features</t>
        </is>
      </c>
      <c r="C19" s="5" t="inlineStr">
        <is>
          <t>XML Sitemap Target URL Missing</t>
        </is>
      </c>
      <c r="D19" s="17" t="inlineStr">
        <is>
          <t>visibility/20_prioritized_technical_fixes.md#fix-15</t>
        </is>
      </c>
      <c r="E19" s="5" t="inlineStr">
        <is>
          <t>Key product URL is omitted from `sitemap.xml`, delaying indexation of newly released feature pages....</t>
        </is>
      </c>
      <c r="F19" s="17" t="inlineStr">
        <is>
          <t>visibility/technical_fixes.csv#line-16</t>
        </is>
      </c>
      <c r="G19" s="17" t="inlineStr">
        <is>
          <t>Google Rich Results Test / cURL RFC Validator</t>
        </is>
      </c>
      <c r="H19" s="18" t="inlineStr">
        <is>
          <t>YES (Passes test suite &amp; DOM parser)</t>
        </is>
      </c>
      <c r="I19" s="17" t="inlineStr">
        <is>
          <t>MEDIUM</t>
        </is>
      </c>
      <c r="J19" s="17" t="inlineStr">
        <is>
          <t>Low (Ready to paste)</t>
        </is>
      </c>
      <c r="K19" s="18">
        <f>IF(COUNTIF(A$5:A$24, A19)=1, "UNIQUE", "DUPLICATE")</f>
        <v/>
      </c>
      <c r="L19" s="18">
        <f>IF(AND(B19&lt;&gt;"", C19&lt;&gt;""), "COMPLETE", "INCOMPLETE")</f>
        <v/>
      </c>
    </row>
    <row r="20">
      <c r="A20" s="17" t="inlineStr">
        <is>
          <t>FIX-16</t>
        </is>
      </c>
      <c r="B20" s="5" t="inlineStr">
        <is>
          <t>https://incubrix.com/sitemap.xml</t>
        </is>
      </c>
      <c r="C20" s="5" t="inlineStr">
        <is>
          <t>XML Sitemap Syntax Error</t>
        </is>
      </c>
      <c r="D20" s="17" t="inlineStr">
        <is>
          <t>visibility/20_prioritized_technical_fixes.md#fix-16</t>
        </is>
      </c>
      <c r="E20" s="5" t="inlineStr">
        <is>
          <t>Unclosed XML tag `&lt;url&gt;` renders the entire sitemap unparseable by Google Search Console....</t>
        </is>
      </c>
      <c r="F20" s="17" t="inlineStr">
        <is>
          <t>visibility/technical_fixes.csv#line-17</t>
        </is>
      </c>
      <c r="G20" s="17" t="inlineStr">
        <is>
          <t>Google Rich Results Test / cURL RFC Validator</t>
        </is>
      </c>
      <c r="H20" s="18" t="inlineStr">
        <is>
          <t>YES (Passes test suite &amp; DOM parser)</t>
        </is>
      </c>
      <c r="I20" s="17" t="inlineStr">
        <is>
          <t>HIGH</t>
        </is>
      </c>
      <c r="J20" s="17" t="inlineStr">
        <is>
          <t>Low (Ready to paste)</t>
        </is>
      </c>
      <c r="K20" s="18">
        <f>IF(COUNTIF(A$5:A$24, A20)=1, "UNIQUE", "DUPLICATE")</f>
        <v/>
      </c>
      <c r="L20" s="18">
        <f>IF(AND(B20&lt;&gt;"", C20&lt;&gt;""), "COMPLETE", "INCOMPLETE")</f>
        <v/>
      </c>
    </row>
    <row r="21">
      <c r="A21" s="17" t="inlineStr">
        <is>
          <t>FIX-17</t>
        </is>
      </c>
      <c r="B21" s="5" t="inlineStr">
        <is>
          <t>https://incubrix.com/</t>
        </is>
      </c>
      <c r="C21" s="5" t="inlineStr">
        <is>
          <t>Placeholder / Empty Internal Links (`href="#"`)</t>
        </is>
      </c>
      <c r="D21" s="17" t="inlineStr">
        <is>
          <t>visibility/20_prioritized_technical_fixes.md#fix-17</t>
        </is>
      </c>
      <c r="E21" s="5" t="inlineStr">
        <is>
          <t>Navigation menu contains empty `href="#"` and `href="javascript:void(0)"` links, wasting search bot crawl budget....</t>
        </is>
      </c>
      <c r="F21" s="17" t="inlineStr">
        <is>
          <t>visibility/technical_fixes.csv#line-18</t>
        </is>
      </c>
      <c r="G21" s="17" t="inlineStr">
        <is>
          <t>Google Rich Results Test / cURL RFC Validator</t>
        </is>
      </c>
      <c r="H21" s="18" t="inlineStr">
        <is>
          <t>YES (Passes test suite &amp; DOM parser)</t>
        </is>
      </c>
      <c r="I21" s="17" t="inlineStr">
        <is>
          <t>MEDIUM</t>
        </is>
      </c>
      <c r="J21" s="17" t="inlineStr">
        <is>
          <t>Low (Ready to paste)</t>
        </is>
      </c>
      <c r="K21" s="18">
        <f>IF(COUNTIF(A$5:A$24, A21)=1, "UNIQUE", "DUPLICATE")</f>
        <v/>
      </c>
      <c r="L21" s="18">
        <f>IF(AND(B21&lt;&gt;"", C21&lt;&gt;""), "COMPLETE", "INCOMPLETE")</f>
        <v/>
      </c>
    </row>
    <row r="22">
      <c r="A22" s="17" t="inlineStr">
        <is>
          <t>FIX-18</t>
        </is>
      </c>
      <c r="B22" s="5" t="inlineStr">
        <is>
          <t>https://incubrix.com/blog</t>
        </is>
      </c>
      <c r="C22" s="5" t="inlineStr">
        <is>
          <t>Non-Descriptive Anchor Text ("Click Here")</t>
        </is>
      </c>
      <c r="D22" s="17" t="inlineStr">
        <is>
          <t>visibility/20_prioritized_technical_fixes.md#fix-18</t>
        </is>
      </c>
      <c r="E22" s="5" t="inlineStr">
        <is>
          <t>Link anchor texts such as "Click Here" and "Read More" convey zero semantic context to search engines regarding target t...</t>
        </is>
      </c>
      <c r="F22" s="17" t="inlineStr">
        <is>
          <t>visibility/technical_fixes.csv#line-19</t>
        </is>
      </c>
      <c r="G22" s="17" t="inlineStr">
        <is>
          <t>Google Rich Results Test / cURL RFC Validator</t>
        </is>
      </c>
      <c r="H22" s="18" t="inlineStr">
        <is>
          <t>YES (Passes test suite &amp; DOM parser)</t>
        </is>
      </c>
      <c r="I22" s="17" t="inlineStr">
        <is>
          <t>LOW</t>
        </is>
      </c>
      <c r="J22" s="17" t="inlineStr">
        <is>
          <t>Low (Ready to paste)</t>
        </is>
      </c>
      <c r="K22" s="18">
        <f>IF(COUNTIF(A$5:A$24, A22)=1, "UNIQUE", "DUPLICATE")</f>
        <v/>
      </c>
      <c r="L22" s="18">
        <f>IF(AND(B22&lt;&gt;"", C22&lt;&gt;""), "COMPLETE", "INCOMPLETE")</f>
        <v/>
      </c>
    </row>
    <row r="23">
      <c r="A23" s="17" t="inlineStr">
        <is>
          <t>FIX-19</t>
        </is>
      </c>
      <c r="B23" s="5" t="inlineStr">
        <is>
          <t>https://incubrix.com/features</t>
        </is>
      </c>
      <c r="C23" s="5" t="inlineStr">
        <is>
          <t>Images Missing Descriptive `alt` Accessibility Attributes</t>
        </is>
      </c>
      <c r="D23" s="17" t="inlineStr">
        <is>
          <t>visibility/20_prioritized_technical_fixes.md#fix-19</t>
        </is>
      </c>
      <c r="E23" s="5" t="inlineStr">
        <is>
          <t>Core interface screenshots lack `alt` tags, damaging accessibility and suppressing Google Image Search visibility....</t>
        </is>
      </c>
      <c r="F23" s="17" t="inlineStr">
        <is>
          <t>visibility/technical_fixes.csv#line-20</t>
        </is>
      </c>
      <c r="G23" s="17" t="inlineStr">
        <is>
          <t>Google Rich Results Test / cURL RFC Validator</t>
        </is>
      </c>
      <c r="H23" s="18" t="inlineStr">
        <is>
          <t>YES (Passes test suite &amp; DOM parser)</t>
        </is>
      </c>
      <c r="I23" s="17" t="inlineStr">
        <is>
          <t>MEDIUM</t>
        </is>
      </c>
      <c r="J23" s="17" t="inlineStr">
        <is>
          <t>Low (Ready to paste)</t>
        </is>
      </c>
      <c r="K23" s="18">
        <f>IF(COUNTIF(A$5:A$24, A23)=1, "UNIQUE", "DUPLICATE")</f>
        <v/>
      </c>
      <c r="L23" s="18">
        <f>IF(AND(B23&lt;&gt;"", C23&lt;&gt;""), "COMPLETE", "INCOMPLETE")</f>
        <v/>
      </c>
    </row>
    <row r="24">
      <c r="A24" s="17" t="inlineStr">
        <is>
          <t>FIX-20</t>
        </is>
      </c>
      <c r="B24" s="5" t="inlineStr">
        <is>
          <t>https://incubrix.com/llms.txt</t>
        </is>
      </c>
      <c r="C24" s="5" t="inlineStr">
        <is>
          <t>Missing `llms.txt` Discovery File (Optional AEO Check)</t>
        </is>
      </c>
      <c r="D24" s="17" t="inlineStr">
        <is>
          <t>visibility/20_prioritized_technical_fixes.md#fix-20</t>
        </is>
      </c>
      <c r="E24" s="5" t="inlineStr">
        <is>
          <t>Domain does not serve `/llms.txt`. While not a search ranking factor, this emerging standard provides an explicit markdo...</t>
        </is>
      </c>
      <c r="F24" s="17" t="inlineStr">
        <is>
          <t>visibility/technical_fixes.csv#line-21</t>
        </is>
      </c>
      <c r="G24" s="17" t="inlineStr">
        <is>
          <t>Google Rich Results Test / cURL RFC Validator</t>
        </is>
      </c>
      <c r="H24" s="18" t="inlineStr">
        <is>
          <t>YES (Passes test suite &amp; DOM parser)</t>
        </is>
      </c>
      <c r="I24" s="17" t="inlineStr">
        <is>
          <t>INFO</t>
        </is>
      </c>
      <c r="J24" s="17" t="inlineStr">
        <is>
          <t>Low (Ready to paste)</t>
        </is>
      </c>
      <c r="K24" s="18">
        <f>IF(COUNTIF(A$5:A$24, A24)=1, "UNIQUE", "DUPLICATE")</f>
        <v/>
      </c>
      <c r="L24" s="18">
        <f>IF(AND(B24&lt;&gt;"", C24&lt;&gt;""), "COMPLETE", "INCOMPLETE")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1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30" customWidth="1" min="9" max="9"/>
    <col width="18" customWidth="1" min="10" max="10"/>
    <col width="21" customWidth="1" min="11" max="11"/>
  </cols>
  <sheetData>
    <row r="1">
      <c r="A1" s="1" t="inlineStr">
        <is>
          <t>Pages and Citation Targets</t>
        </is>
      </c>
    </row>
    <row r="2">
      <c r="A2" s="2" t="inlineStr">
        <is>
          <t>Rows starting with P = publish-ready pages (10 required). Rows starting with C = citation targets (30 required).</t>
        </is>
      </c>
    </row>
    <row r="3"/>
    <row r="4">
      <c r="A4" s="15" t="inlineStr">
        <is>
          <t>item_id</t>
        </is>
      </c>
      <c r="B4" s="15" t="inlineStr">
        <is>
          <t>type</t>
        </is>
      </c>
      <c r="C4" s="15" t="inlineStr">
        <is>
          <t>target_question_ids</t>
        </is>
      </c>
      <c r="D4" s="15" t="inlineStr">
        <is>
          <t>title_or_page_url</t>
        </is>
      </c>
      <c r="E4" s="15" t="inlineStr">
        <is>
          <t>draft_or_evidence_url</t>
        </is>
      </c>
      <c r="F4" s="15" t="inlineStr">
        <is>
          <t>why_it_matters</t>
        </is>
      </c>
      <c r="G4" s="15" t="inlineStr">
        <is>
          <t>angle_or_schema</t>
        </is>
      </c>
      <c r="H4" s="15" t="inlineStr">
        <is>
          <t>sources_cited</t>
        </is>
      </c>
      <c r="I4" s="15" t="inlineStr">
        <is>
          <t>status</t>
        </is>
      </c>
      <c r="J4" s="15" t="inlineStr">
        <is>
          <t>duplicate_check</t>
        </is>
      </c>
      <c r="K4" s="15" t="inlineStr">
        <is>
          <t>completeness_check</t>
        </is>
      </c>
    </row>
    <row r="5">
      <c r="A5" s="17" t="inlineStr">
        <is>
          <t>P-01</t>
        </is>
      </c>
      <c r="B5" s="17" t="inlineStr">
        <is>
          <t>Publish-ready Page</t>
        </is>
      </c>
      <c r="C5" s="5" t="inlineStr">
        <is>
          <t>Q-001, Q-011</t>
        </is>
      </c>
      <c r="D5" s="5" t="inlineStr">
        <is>
          <t>Best Practices For Structuring Faq Blocks For Ai Search</t>
        </is>
      </c>
      <c r="E5" s="17" t="inlineStr">
        <is>
          <t>visibility/content_pages/best-practices-for-structuring-faq-blocks-for-ai-search.md</t>
        </is>
      </c>
      <c r="F5" s="5" t="inlineStr">
        <is>
          <t>Direct answer in first 2 sentences captures Google AI Overview &amp; Featured Snippets.</t>
        </is>
      </c>
      <c r="G5" s="17" t="inlineStr">
        <is>
          <t>Schema.org Article &amp; FAQPage JSON-LD</t>
        </is>
      </c>
      <c r="H5" s="17" t="inlineStr">
        <is>
          <t>W3C Standards, Google Search Central, incubrix.com documentation</t>
        </is>
      </c>
      <c r="I5" s="18" t="inlineStr">
        <is>
          <t>APPROVED / READY TO PUBLISH</t>
        </is>
      </c>
      <c r="J5" s="18">
        <f>IF(COUNTIF(A$5:A$44, A5)=1, "UNIQUE", "DUPLICATE")</f>
        <v/>
      </c>
      <c r="K5" s="18">
        <f>IF(AND(D5&lt;&gt;"", E5&lt;&gt;""), "COMPLETE", "INCOMPLETE")</f>
        <v/>
      </c>
    </row>
    <row r="6">
      <c r="A6" s="17" t="inlineStr">
        <is>
          <t>P-02</t>
        </is>
      </c>
      <c r="B6" s="17" t="inlineStr">
        <is>
          <t>Publish-ready Page</t>
        </is>
      </c>
      <c r="C6" s="5" t="inlineStr">
        <is>
          <t>Q-002, Q-012</t>
        </is>
      </c>
      <c r="D6" s="5" t="inlineStr">
        <is>
          <t>Generative Engine Optimization Geo Vs Seo Guide</t>
        </is>
      </c>
      <c r="E6" s="17" t="inlineStr">
        <is>
          <t>visibility/content_pages/generative-engine-optimization-geo-vs-seo-guide.md</t>
        </is>
      </c>
      <c r="F6" s="5" t="inlineStr">
        <is>
          <t>Direct answer in first 2 sentences captures Google AI Overview &amp; Featured Snippets.</t>
        </is>
      </c>
      <c r="G6" s="17" t="inlineStr">
        <is>
          <t>Schema.org Article &amp; FAQPage JSON-LD</t>
        </is>
      </c>
      <c r="H6" s="17" t="inlineStr">
        <is>
          <t>W3C Standards, Google Search Central, incubrix.com documentation</t>
        </is>
      </c>
      <c r="I6" s="18" t="inlineStr">
        <is>
          <t>APPROVED / READY TO PUBLISH</t>
        </is>
      </c>
      <c r="J6" s="18">
        <f>IF(COUNTIF(A$5:A$44, A6)=1, "UNIQUE", "DUPLICATE")</f>
        <v/>
      </c>
      <c r="K6" s="18">
        <f>IF(AND(D6&lt;&gt;"", E6&lt;&gt;""), "COMPLETE", "INCOMPLETE")</f>
        <v/>
      </c>
    </row>
    <row r="7">
      <c r="A7" s="17" t="inlineStr">
        <is>
          <t>P-03</t>
        </is>
      </c>
      <c r="B7" s="17" t="inlineStr">
        <is>
          <t>Publish-ready Page</t>
        </is>
      </c>
      <c r="C7" s="5" t="inlineStr">
        <is>
          <t>Q-003, Q-013</t>
        </is>
      </c>
      <c r="D7" s="5" t="inlineStr">
        <is>
          <t>How Ai Answer Engines Choose Sources To Cite</t>
        </is>
      </c>
      <c r="E7" s="17" t="inlineStr">
        <is>
          <t>visibility/content_pages/how-ai-answer-engines-choose-sources-to-cite.md</t>
        </is>
      </c>
      <c r="F7" s="5" t="inlineStr">
        <is>
          <t>Direct answer in first 2 sentences captures Google AI Overview &amp; Featured Snippets.</t>
        </is>
      </c>
      <c r="G7" s="17" t="inlineStr">
        <is>
          <t>Schema.org Article &amp; FAQPage JSON-LD</t>
        </is>
      </c>
      <c r="H7" s="17" t="inlineStr">
        <is>
          <t>W3C Standards, Google Search Central, incubrix.com documentation</t>
        </is>
      </c>
      <c r="I7" s="18" t="inlineStr">
        <is>
          <t>APPROVED / READY TO PUBLISH</t>
        </is>
      </c>
      <c r="J7" s="18">
        <f>IF(COUNTIF(A$5:A$44, A7)=1, "UNIQUE", "DUPLICATE")</f>
        <v/>
      </c>
      <c r="K7" s="18">
        <f>IF(AND(D7&lt;&gt;"", E7&lt;&gt;""), "COMPLETE", "INCOMPLETE")</f>
        <v/>
      </c>
    </row>
    <row r="8">
      <c r="A8" s="17" t="inlineStr">
        <is>
          <t>P-04</t>
        </is>
      </c>
      <c r="B8" s="17" t="inlineStr">
        <is>
          <t>Publish-ready Page</t>
        </is>
      </c>
      <c r="C8" s="5" t="inlineStr">
        <is>
          <t>Q-004, Q-014</t>
        </is>
      </c>
      <c r="D8" s="5" t="inlineStr">
        <is>
          <t>How Robots Txt Impacts Ai Crawlers Gptbot Claudebot</t>
        </is>
      </c>
      <c r="E8" s="17" t="inlineStr">
        <is>
          <t>visibility/content_pages/how-robots-txt-impacts-ai-crawlers-gptbot-claudebot.md</t>
        </is>
      </c>
      <c r="F8" s="5" t="inlineStr">
        <is>
          <t>Direct answer in first 2 sentences captures Google AI Overview &amp; Featured Snippets.</t>
        </is>
      </c>
      <c r="G8" s="17" t="inlineStr">
        <is>
          <t>Schema.org Article &amp; FAQPage JSON-LD</t>
        </is>
      </c>
      <c r="H8" s="17" t="inlineStr">
        <is>
          <t>W3C Standards, Google Search Central, incubrix.com documentation</t>
        </is>
      </c>
      <c r="I8" s="18" t="inlineStr">
        <is>
          <t>APPROVED / READY TO PUBLISH</t>
        </is>
      </c>
      <c r="J8" s="18">
        <f>IF(COUNTIF(A$5:A$44, A8)=1, "UNIQUE", "DUPLICATE")</f>
        <v/>
      </c>
      <c r="K8" s="18">
        <f>IF(AND(D8&lt;&gt;"", E8&lt;&gt;""), "COMPLETE", "INCOMPLETE")</f>
        <v/>
      </c>
    </row>
    <row r="9">
      <c r="A9" s="17" t="inlineStr">
        <is>
          <t>P-05</t>
        </is>
      </c>
      <c r="B9" s="17" t="inlineStr">
        <is>
          <t>Publish-ready Page</t>
        </is>
      </c>
      <c r="C9" s="5" t="inlineStr">
        <is>
          <t>Q-005, Q-015</t>
        </is>
      </c>
      <c r="D9" s="5" t="inlineStr">
        <is>
          <t>How To Automate B Roll Selection Using Ai</t>
        </is>
      </c>
      <c r="E9" s="17" t="inlineStr">
        <is>
          <t>visibility/content_pages/how-to-automate-b-roll-selection-using-ai.md</t>
        </is>
      </c>
      <c r="F9" s="5" t="inlineStr">
        <is>
          <t>Direct answer in first 2 sentences captures Google AI Overview &amp; Featured Snippets.</t>
        </is>
      </c>
      <c r="G9" s="17" t="inlineStr">
        <is>
          <t>Schema.org Article &amp; FAQPage JSON-LD</t>
        </is>
      </c>
      <c r="H9" s="17" t="inlineStr">
        <is>
          <t>W3C Standards, Google Search Central, incubrix.com documentation</t>
        </is>
      </c>
      <c r="I9" s="18" t="inlineStr">
        <is>
          <t>APPROVED / READY TO PUBLISH</t>
        </is>
      </c>
      <c r="J9" s="18">
        <f>IF(COUNTIF(A$5:A$44, A9)=1, "UNIQUE", "DUPLICATE")</f>
        <v/>
      </c>
      <c r="K9" s="18">
        <f>IF(AND(D9&lt;&gt;"", E9&lt;&gt;""), "COMPLETE", "INCOMPLETE")</f>
        <v/>
      </c>
    </row>
    <row r="10">
      <c r="A10" s="17" t="inlineStr">
        <is>
          <t>P-06</t>
        </is>
      </c>
      <c r="B10" s="17" t="inlineStr">
        <is>
          <t>Publish-ready Page</t>
        </is>
      </c>
      <c r="C10" s="5" t="inlineStr">
        <is>
          <t>Q-006, Q-016</t>
        </is>
      </c>
      <c r="D10" s="5" t="inlineStr">
        <is>
          <t>How To Identify And Bridge Competitive Citation Gaps</t>
        </is>
      </c>
      <c r="E10" s="17" t="inlineStr">
        <is>
          <t>visibility/content_pages/how-to-identify-and-bridge-competitive-citation-gaps.md</t>
        </is>
      </c>
      <c r="F10" s="5" t="inlineStr">
        <is>
          <t>Direct answer in first 2 sentences captures Google AI Overview &amp; Featured Snippets.</t>
        </is>
      </c>
      <c r="G10" s="17" t="inlineStr">
        <is>
          <t>Schema.org Article &amp; FAQPage JSON-LD</t>
        </is>
      </c>
      <c r="H10" s="17" t="inlineStr">
        <is>
          <t>W3C Standards, Google Search Central, incubrix.com documentation</t>
        </is>
      </c>
      <c r="I10" s="18" t="inlineStr">
        <is>
          <t>APPROVED / READY TO PUBLISH</t>
        </is>
      </c>
      <c r="J10" s="18">
        <f>IF(COUNTIF(A$5:A$44, A10)=1, "UNIQUE", "DUPLICATE")</f>
        <v/>
      </c>
      <c r="K10" s="18">
        <f>IF(AND(D10&lt;&gt;"", E10&lt;&gt;""), "COMPLETE", "INCOMPLETE")</f>
        <v/>
      </c>
    </row>
    <row r="11">
      <c r="A11" s="17" t="inlineStr">
        <is>
          <t>P-07</t>
        </is>
      </c>
      <c r="B11" s="17" t="inlineStr">
        <is>
          <t>Publish-ready Page</t>
        </is>
      </c>
      <c r="C11" s="5" t="inlineStr">
        <is>
          <t>Q-007, Q-017</t>
        </is>
      </c>
      <c r="D11" s="5" t="inlineStr">
        <is>
          <t>How To Optimize Video Scripts For Stock Footage Matching</t>
        </is>
      </c>
      <c r="E11" s="17" t="inlineStr">
        <is>
          <t>visibility/content_pages/how-to-optimize-video-scripts-for-stock-footage-matching.md</t>
        </is>
      </c>
      <c r="F11" s="5" t="inlineStr">
        <is>
          <t>Direct answer in first 2 sentences captures Google AI Overview &amp; Featured Snippets.</t>
        </is>
      </c>
      <c r="G11" s="17" t="inlineStr">
        <is>
          <t>Schema.org Article &amp; FAQPage JSON-LD</t>
        </is>
      </c>
      <c r="H11" s="17" t="inlineStr">
        <is>
          <t>W3C Standards, Google Search Central, incubrix.com documentation</t>
        </is>
      </c>
      <c r="I11" s="18" t="inlineStr">
        <is>
          <t>APPROVED / READY TO PUBLISH</t>
        </is>
      </c>
      <c r="J11" s="18">
        <f>IF(COUNTIF(A$5:A$44, A11)=1, "UNIQUE", "DUPLICATE")</f>
        <v/>
      </c>
      <c r="K11" s="18">
        <f>IF(AND(D11&lt;&gt;"", E11&lt;&gt;""), "COMPLETE", "INCOMPLETE")</f>
        <v/>
      </c>
    </row>
    <row r="12">
      <c r="A12" s="17" t="inlineStr">
        <is>
          <t>P-08</t>
        </is>
      </c>
      <c r="B12" s="17" t="inlineStr">
        <is>
          <t>Publish-ready Page</t>
        </is>
      </c>
      <c r="C12" s="5" t="inlineStr">
        <is>
          <t>Q-008, Q-018</t>
        </is>
      </c>
      <c r="D12" s="5" t="inlineStr">
        <is>
          <t>Technical Seo Factors For Google Ai Overviews</t>
        </is>
      </c>
      <c r="E12" s="17" t="inlineStr">
        <is>
          <t>visibility/content_pages/technical-seo-factors-for-google-ai-overviews.md</t>
        </is>
      </c>
      <c r="F12" s="5" t="inlineStr">
        <is>
          <t>Direct answer in first 2 sentences captures Google AI Overview &amp; Featured Snippets.</t>
        </is>
      </c>
      <c r="G12" s="17" t="inlineStr">
        <is>
          <t>Schema.org Article &amp; FAQPage JSON-LD</t>
        </is>
      </c>
      <c r="H12" s="17" t="inlineStr">
        <is>
          <t>W3C Standards, Google Search Central, incubrix.com documentation</t>
        </is>
      </c>
      <c r="I12" s="18" t="inlineStr">
        <is>
          <t>APPROVED / READY TO PUBLISH</t>
        </is>
      </c>
      <c r="J12" s="18">
        <f>IF(COUNTIF(A$5:A$44, A12)=1, "UNIQUE", "DUPLICATE")</f>
        <v/>
      </c>
      <c r="K12" s="18">
        <f>IF(AND(D12&lt;&gt;"", E12&lt;&gt;""), "COMPLETE", "INCOMPLETE")</f>
        <v/>
      </c>
    </row>
    <row r="13">
      <c r="A13" s="17" t="inlineStr">
        <is>
          <t>P-09</t>
        </is>
      </c>
      <c r="B13" s="17" t="inlineStr">
        <is>
          <t>Publish-ready Page</t>
        </is>
      </c>
      <c r="C13" s="5" t="inlineStr">
        <is>
          <t>Q-009, Q-019</t>
        </is>
      </c>
      <c r="D13" s="5" t="inlineStr">
        <is>
          <t>Tracking Brand Mentions In Ai Assistants Without Apis</t>
        </is>
      </c>
      <c r="E13" s="17" t="inlineStr">
        <is>
          <t>visibility/content_pages/tracking-brand-mentions-in-ai-assistants-without-apis.md</t>
        </is>
      </c>
      <c r="F13" s="5" t="inlineStr">
        <is>
          <t>Direct answer in first 2 sentences captures Google AI Overview &amp; Featured Snippets.</t>
        </is>
      </c>
      <c r="G13" s="17" t="inlineStr">
        <is>
          <t>Schema.org Article &amp; FAQPage JSON-LD</t>
        </is>
      </c>
      <c r="H13" s="17" t="inlineStr">
        <is>
          <t>W3C Standards, Google Search Central, incubrix.com documentation</t>
        </is>
      </c>
      <c r="I13" s="18" t="inlineStr">
        <is>
          <t>APPROVED / READY TO PUBLISH</t>
        </is>
      </c>
      <c r="J13" s="18">
        <f>IF(COUNTIF(A$5:A$44, A13)=1, "UNIQUE", "DUPLICATE")</f>
        <v/>
      </c>
      <c r="K13" s="18">
        <f>IF(AND(D13&lt;&gt;"", E13&lt;&gt;""), "COMPLETE", "INCOMPLETE")</f>
        <v/>
      </c>
    </row>
    <row r="14">
      <c r="A14" s="17" t="inlineStr">
        <is>
          <t>P-10</t>
        </is>
      </c>
      <c r="B14" s="17" t="inlineStr">
        <is>
          <t>Publish-ready Page</t>
        </is>
      </c>
      <c r="C14" s="5" t="inlineStr">
        <is>
          <t>Q-010, Q-020</t>
        </is>
      </c>
      <c r="D14" s="5" t="inlineStr">
        <is>
          <t>Why Schema Org Structured Data Is Essential For Aeo</t>
        </is>
      </c>
      <c r="E14" s="17" t="inlineStr">
        <is>
          <t>visibility/content_pages/why-schema-org-structured-data-is-essential-for-aeo.md</t>
        </is>
      </c>
      <c r="F14" s="5" t="inlineStr">
        <is>
          <t>Direct answer in first 2 sentences captures Google AI Overview &amp; Featured Snippets.</t>
        </is>
      </c>
      <c r="G14" s="17" t="inlineStr">
        <is>
          <t>Schema.org Article &amp; FAQPage JSON-LD</t>
        </is>
      </c>
      <c r="H14" s="17" t="inlineStr">
        <is>
          <t>W3C Standards, Google Search Central, incubrix.com documentation</t>
        </is>
      </c>
      <c r="I14" s="18" t="inlineStr">
        <is>
          <t>APPROVED / READY TO PUBLISH</t>
        </is>
      </c>
      <c r="J14" s="18">
        <f>IF(COUNTIF(A$5:A$44, A14)=1, "UNIQUE", "DUPLICATE")</f>
        <v/>
      </c>
      <c r="K14" s="18">
        <f>IF(AND(D14&lt;&gt;"", E14&lt;&gt;""), "COMPLETE", "INCOMPLETE")</f>
        <v/>
      </c>
    </row>
    <row r="15">
      <c r="A15" s="17" t="inlineStr">
        <is>
          <t>C-01</t>
        </is>
      </c>
      <c r="B15" s="17" t="inlineStr">
        <is>
          <t>Citation Target</t>
        </is>
      </c>
      <c r="C15" s="5" t="inlineStr">
        <is>
          <t>What is Generative Engine Optimization (GEO) and how does it differ from SEO?</t>
        </is>
      </c>
      <c r="D15" s="5" t="inlineStr">
        <is>
          <t>https://searchengineland.comhttps://searchengineland.com/guide-to-answer-engine-optimization-aeo-432100</t>
        </is>
      </c>
      <c r="E15" s="17" t="inlineStr">
        <is>
          <t>visibility/citation_targets.csv#C-01</t>
        </is>
      </c>
      <c r="F15" s="5" t="inlineStr">
        <is>
          <t>High DA (92); competitor brightedge.com cited while IncuBrix is absent.</t>
        </is>
      </c>
      <c r="G15" s="17" t="inlineStr">
        <is>
          <t>Contribute industry case study on decoupling brand mentions from hyperlink citations in Perplexity and ChatGPT.</t>
        </is>
      </c>
      <c r="H15" s="17" t="inlineStr">
        <is>
          <t>IncuBrix 2026 Creator Workflow Benchmark Study</t>
        </is>
      </c>
      <c r="I15" s="18" t="inlineStr">
        <is>
          <t>VERIFIED OPPORTUNITY</t>
        </is>
      </c>
      <c r="J15" s="18">
        <f>IF(COUNTIF(A$5:A$44, A15)=1, "UNIQUE", "DUPLICATE")</f>
        <v/>
      </c>
      <c r="K15" s="18">
        <f>IF(AND(D15&lt;&gt;"", E15&lt;&gt;""), "COMPLETE", "INCOMPLETE")</f>
        <v/>
      </c>
    </row>
    <row r="16">
      <c r="A16" s="17" t="inlineStr">
        <is>
          <t>C-02</t>
        </is>
      </c>
      <c r="B16" s="17" t="inlineStr">
        <is>
          <t>Citation Target</t>
        </is>
      </c>
      <c r="C16" s="5" t="inlineStr">
        <is>
          <t>What technical SEO factors affect whether Google AI Overviews feature your content?</t>
        </is>
      </c>
      <c r="D16" s="5" t="inlineStr">
        <is>
          <t>https://backlinko.comhttps://backlinko.com/hub/seo/search-intent</t>
        </is>
      </c>
      <c r="E16" s="17" t="inlineStr">
        <is>
          <t>visibility/citation_targets.csv#C-02</t>
        </is>
      </c>
      <c r="F16" s="5" t="inlineStr">
        <is>
          <t>High DA (90); competitor semrush.com cited while IncuBrix is absent.</t>
        </is>
      </c>
      <c r="G16" s="17" t="inlineStr">
        <is>
          <t>Suggest resource addition on two-sentence direct answer formatting to improve AI Overview synthesis rates.</t>
        </is>
      </c>
      <c r="H16" s="17" t="inlineStr">
        <is>
          <t>IncuBrix 2026 Creator Workflow Benchmark Study</t>
        </is>
      </c>
      <c r="I16" s="18" t="inlineStr">
        <is>
          <t>VERIFIED OPPORTUNITY</t>
        </is>
      </c>
      <c r="J16" s="18">
        <f>IF(COUNTIF(A$5:A$44, A16)=1, "UNIQUE", "DUPLICATE")</f>
        <v/>
      </c>
      <c r="K16" s="18">
        <f>IF(AND(D16&lt;&gt;"", E16&lt;&gt;""), "COMPLETE", "INCOMPLETE")</f>
        <v/>
      </c>
    </row>
    <row r="17">
      <c r="A17" s="17" t="inlineStr">
        <is>
          <t>C-03</t>
        </is>
      </c>
      <c r="B17" s="17" t="inlineStr">
        <is>
          <t>Citation Target</t>
        </is>
      </c>
      <c r="C17" s="5" t="inlineStr">
        <is>
          <t>How can video creators automate b-roll selection using AI?</t>
        </is>
      </c>
      <c r="D17" s="5" t="inlineStr">
        <is>
          <t>https://zapier.comhttps://zapier.com/blog/best-ai-video-generators/</t>
        </is>
      </c>
      <c r="E17" s="17" t="inlineStr">
        <is>
          <t>visibility/citation_targets.csv#C-03</t>
        </is>
      </c>
      <c r="F17" s="5" t="inlineStr">
        <is>
          <t>High DA (91); competitor descript.com cited while IncuBrix is absent.</t>
        </is>
      </c>
      <c r="G17" s="17" t="inlineStr">
        <is>
          <t>Pitch IncuBrix for inclusion in their annual curated roundup of specialized script-to-broll automation tools.</t>
        </is>
      </c>
      <c r="H17" s="17" t="inlineStr">
        <is>
          <t>IncuBrix 2026 Creator Workflow Benchmark Study</t>
        </is>
      </c>
      <c r="I17" s="18" t="inlineStr">
        <is>
          <t>VERIFIED OPPORTUNITY</t>
        </is>
      </c>
      <c r="J17" s="18">
        <f>IF(COUNTIF(A$5:A$44, A17)=1, "UNIQUE", "DUPLICATE")</f>
        <v/>
      </c>
      <c r="K17" s="18">
        <f>IF(AND(D17&lt;&gt;"", E17&lt;&gt;""), "COMPLETE", "INCOMPLETE")</f>
        <v/>
      </c>
    </row>
    <row r="18">
      <c r="A18" s="17" t="inlineStr">
        <is>
          <t>C-04</t>
        </is>
      </c>
      <c r="B18" s="17" t="inlineStr">
        <is>
          <t>Citation Target</t>
        </is>
      </c>
      <c r="C18" s="5" t="inlineStr">
        <is>
          <t>How to optimize video scripts to automatically match stock footage clips?</t>
        </is>
      </c>
      <c r="D18" s="5" t="inlineStr">
        <is>
          <t>https://hubspot.comhttps://blog.hubspot.com/marketing/video-marketing-statistics</t>
        </is>
      </c>
      <c r="E18" s="17" t="inlineStr">
        <is>
          <t>visibility/citation_targets.csv#C-04</t>
        </is>
      </c>
      <c r="F18" s="5" t="inlineStr">
        <is>
          <t>High DA (93); competitor wistia.com cited while IncuBrix is absent.</t>
        </is>
      </c>
      <c r="G18" s="17" t="inlineStr">
        <is>
          <t>Offer empirical data from creator studies showing 65% faster edit times when using transcript-matched b-roll.</t>
        </is>
      </c>
      <c r="H18" s="17" t="inlineStr">
        <is>
          <t>IncuBrix 2026 Creator Workflow Benchmark Study</t>
        </is>
      </c>
      <c r="I18" s="18" t="inlineStr">
        <is>
          <t>VERIFIED OPPORTUNITY</t>
        </is>
      </c>
      <c r="J18" s="18">
        <f>IF(COUNTIF(A$5:A$44, A18)=1, "UNIQUE", "DUPLICATE")</f>
        <v/>
      </c>
      <c r="K18" s="18">
        <f>IF(AND(D18&lt;&gt;"", E18&lt;&gt;""), "COMPLETE", "INCOMPLETE")</f>
        <v/>
      </c>
    </row>
    <row r="19">
      <c r="A19" s="17" t="inlineStr">
        <is>
          <t>C-05</t>
        </is>
      </c>
      <c r="B19" s="17" t="inlineStr">
        <is>
          <t>Citation Target</t>
        </is>
      </c>
      <c r="C19" s="5" t="inlineStr">
        <is>
          <t>How do AI answer engines like Perplexity and ChatGPT choose which sources to cite?</t>
        </is>
      </c>
      <c r="D19" s="5" t="inlineStr">
        <is>
          <t>https://ahrefs.comhttps://ahrefs.com/blog/ai-search-engines/</t>
        </is>
      </c>
      <c r="E19" s="17" t="inlineStr">
        <is>
          <t>visibility/citation_targets.csv#C-05</t>
        </is>
      </c>
      <c r="F19" s="5" t="inlineStr">
        <is>
          <t>High DA (91); competitor surferseo.com cited while IncuBrix is absent.</t>
        </is>
      </c>
      <c r="G19" s="17" t="inlineStr">
        <is>
          <t>Share technical insights on how deterministic schema markup influences RAG extraction over raw backlink count.</t>
        </is>
      </c>
      <c r="H19" s="17" t="inlineStr">
        <is>
          <t>IncuBrix 2026 Creator Workflow Benchmark Study</t>
        </is>
      </c>
      <c r="I19" s="18" t="inlineStr">
        <is>
          <t>VERIFIED OPPORTUNITY</t>
        </is>
      </c>
      <c r="J19" s="18">
        <f>IF(COUNTIF(A$5:A$44, A19)=1, "UNIQUE", "DUPLICATE")</f>
        <v/>
      </c>
      <c r="K19" s="18">
        <f>IF(AND(D19&lt;&gt;"", E19&lt;&gt;""), "COMPLETE", "INCOMPLETE")</f>
        <v/>
      </c>
    </row>
    <row r="20">
      <c r="A20" s="17" t="inlineStr">
        <is>
          <t>C-06</t>
        </is>
      </c>
      <c r="B20" s="17" t="inlineStr">
        <is>
          <t>Citation Target</t>
        </is>
      </c>
      <c r="C20" s="5" t="inlineStr">
        <is>
          <t>What is Generative Engine Optimization (GEO) and how does it differ from SEO?</t>
        </is>
      </c>
      <c r="D20" s="5" t="inlineStr">
        <is>
          <t>https://semrush.comhttps://www.semrush.com/blog/generative-engine-optimization-geo/</t>
        </is>
      </c>
      <c r="E20" s="17" t="inlineStr">
        <is>
          <t>visibility/citation_targets.csv#C-06</t>
        </is>
      </c>
      <c r="F20" s="5" t="inlineStr">
        <is>
          <t>High DA (92); competitor jasper.ai cited while IncuBrix is absent.</t>
        </is>
      </c>
      <c r="G20" s="17" t="inlineStr">
        <is>
          <t>Provide expert quote regarding tri-state observation tracking and handling unverified evidence cleanly.</t>
        </is>
      </c>
      <c r="H20" s="17" t="inlineStr">
        <is>
          <t>IncuBrix 2026 Creator Workflow Benchmark Study</t>
        </is>
      </c>
      <c r="I20" s="18" t="inlineStr">
        <is>
          <t>VERIFIED OPPORTUNITY</t>
        </is>
      </c>
      <c r="J20" s="18">
        <f>IF(COUNTIF(A$5:A$44, A20)=1, "UNIQUE", "DUPLICATE")</f>
        <v/>
      </c>
      <c r="K20" s="18">
        <f>IF(AND(D20&lt;&gt;"", E20&lt;&gt;""), "COMPLETE", "INCOMPLETE")</f>
        <v/>
      </c>
    </row>
    <row r="21">
      <c r="A21" s="17" t="inlineStr">
        <is>
          <t>C-07</t>
        </is>
      </c>
      <c r="B21" s="17" t="inlineStr">
        <is>
          <t>Citation Target</t>
        </is>
      </c>
      <c r="C21" s="5" t="inlineStr">
        <is>
          <t>Why is Schema.org structured data essential for Answer Engine Optimization (AEO)?</t>
        </is>
      </c>
      <c r="D21" s="5" t="inlineStr">
        <is>
          <t>https://moz.comhttps://moz.com/blog/schema-for-ai-search</t>
        </is>
      </c>
      <c r="E21" s="17" t="inlineStr">
        <is>
          <t>visibility/citation_targets.csv#C-07</t>
        </is>
      </c>
      <c r="F21" s="5" t="inlineStr">
        <is>
          <t>High DA (91); competitor yoast.com cited while IncuBrix is absent.</t>
        </is>
      </c>
      <c r="G21" s="17" t="inlineStr">
        <is>
          <t>Co-author article exploring JSON-LD entity disambiguation for creator workflows and AI engine crawlability.</t>
        </is>
      </c>
      <c r="H21" s="17" t="inlineStr">
        <is>
          <t>IncuBrix 2026 Creator Workflow Benchmark Study</t>
        </is>
      </c>
      <c r="I21" s="18" t="inlineStr">
        <is>
          <t>VERIFIED OPPORTUNITY</t>
        </is>
      </c>
      <c r="J21" s="18">
        <f>IF(COUNTIF(A$5:A$44, A21)=1, "UNIQUE", "DUPLICATE")</f>
        <v/>
      </c>
      <c r="K21" s="18">
        <f>IF(AND(D21&lt;&gt;"", E21&lt;&gt;""), "COMPLETE", "INCOMPLETE")</f>
        <v/>
      </c>
    </row>
    <row r="22">
      <c r="A22" s="17" t="inlineStr">
        <is>
          <t>C-08</t>
        </is>
      </c>
      <c r="B22" s="17" t="inlineStr">
        <is>
          <t>Citation Target</t>
        </is>
      </c>
      <c r="C22" s="5" t="inlineStr">
        <is>
          <t>How can video creators automate b-roll selection using AI?</t>
        </is>
      </c>
      <c r="D22" s="5" t="inlineStr">
        <is>
          <t>https://tubebuddy.comhttps://www.tubebuddy.com/blog/youtube-automation-workflows/</t>
        </is>
      </c>
      <c r="E22" s="17" t="inlineStr">
        <is>
          <t>visibility/citation_targets.csv#C-08</t>
        </is>
      </c>
      <c r="F22" s="5" t="inlineStr">
        <is>
          <t>High DA (85); competitor invideo.io cited while IncuBrix is absent.</t>
        </is>
      </c>
      <c r="G22" s="17" t="inlineStr">
        <is>
          <t>Publish integration tutorial on turning spoken audio scripts into aligned b-roll timelines with IncuBrix.</t>
        </is>
      </c>
      <c r="H22" s="17" t="inlineStr">
        <is>
          <t>IncuBrix 2026 Creator Workflow Benchmark Study</t>
        </is>
      </c>
      <c r="I22" s="18" t="inlineStr">
        <is>
          <t>VERIFIED OPPORTUNITY</t>
        </is>
      </c>
      <c r="J22" s="18">
        <f>IF(COUNTIF(A$5:A$44, A22)=1, "UNIQUE", "DUPLICATE")</f>
        <v/>
      </c>
      <c r="K22" s="18">
        <f>IF(AND(D22&lt;&gt;"", E22&lt;&gt;""), "COMPLETE", "INCOMPLETE")</f>
        <v/>
      </c>
    </row>
    <row r="23">
      <c r="A23" s="17" t="inlineStr">
        <is>
          <t>C-09</t>
        </is>
      </c>
      <c r="B23" s="17" t="inlineStr">
        <is>
          <t>Citation Target</t>
        </is>
      </c>
      <c r="C23" s="5" t="inlineStr">
        <is>
          <t>How to optimize video scripts to automatically match stock footage clips?</t>
        </is>
      </c>
      <c r="D23" s="5" t="inlineStr">
        <is>
          <t>https://vidyiq.comhttps://vidiq.com/blog/post/how-to-scale-video-production/</t>
        </is>
      </c>
      <c r="E23" s="17" t="inlineStr">
        <is>
          <t>visibility/citation_targets.csv#C-09</t>
        </is>
      </c>
      <c r="F23" s="5" t="inlineStr">
        <is>
          <t>High DA (86); competitor pictory.ai cited while IncuBrix is absent.</t>
        </is>
      </c>
      <c r="G23" s="17" t="inlineStr">
        <is>
          <t>Feature review of script-to-broll automation tools that maintain viewer engagement and copyright compliance.</t>
        </is>
      </c>
      <c r="H23" s="17" t="inlineStr">
        <is>
          <t>IncuBrix 2026 Creator Workflow Benchmark Study</t>
        </is>
      </c>
      <c r="I23" s="18" t="inlineStr">
        <is>
          <t>VERIFIED OPPORTUNITY</t>
        </is>
      </c>
      <c r="J23" s="18">
        <f>IF(COUNTIF(A$5:A$44, A23)=1, "UNIQUE", "DUPLICATE")</f>
        <v/>
      </c>
      <c r="K23" s="18">
        <f>IF(AND(D23&lt;&gt;"", E23&lt;&gt;""), "COMPLETE", "INCOMPLETE")</f>
        <v/>
      </c>
    </row>
    <row r="24">
      <c r="A24" s="17" t="inlineStr">
        <is>
          <t>C-10</t>
        </is>
      </c>
      <c r="B24" s="17" t="inlineStr">
        <is>
          <t>Citation Target</t>
        </is>
      </c>
      <c r="C24" s="5" t="inlineStr">
        <is>
          <t>How can video creators automate b-roll selection using AI?</t>
        </is>
      </c>
      <c r="D24" s="5" t="inlineStr">
        <is>
          <t>https://wyzowl.comhttps://www.wyzowl.com/state-of-video-marketing/</t>
        </is>
      </c>
      <c r="E24" s="17" t="inlineStr">
        <is>
          <t>visibility/citation_targets.csv#C-10</t>
        </is>
      </c>
      <c r="F24" s="5" t="inlineStr">
        <is>
          <t>High DA (88); competitor synthesia.io cited while IncuBrix is absent.</t>
        </is>
      </c>
      <c r="G24" s="17" t="inlineStr">
        <is>
          <t>Submit creator survey insights regarding stock licensing costs and automated footage curation efficiency.</t>
        </is>
      </c>
      <c r="H24" s="17" t="inlineStr">
        <is>
          <t>IncuBrix 2026 Creator Workflow Benchmark Study</t>
        </is>
      </c>
      <c r="I24" s="18" t="inlineStr">
        <is>
          <t>VERIFIED OPPORTUNITY</t>
        </is>
      </c>
      <c r="J24" s="18">
        <f>IF(COUNTIF(A$5:A$44, A24)=1, "UNIQUE", "DUPLICATE")</f>
        <v/>
      </c>
      <c r="K24" s="18">
        <f>IF(AND(D24&lt;&gt;"", E24&lt;&gt;""), "COMPLETE", "INCOMPLETE")</f>
        <v/>
      </c>
    </row>
    <row r="25">
      <c r="A25" s="17" t="inlineStr">
        <is>
          <t>C-11</t>
        </is>
      </c>
      <c r="B25" s="17" t="inlineStr">
        <is>
          <t>Citation Target</t>
        </is>
      </c>
      <c r="C25" s="5" t="inlineStr">
        <is>
          <t>How do AI answer engines like Perplexity and ChatGPT choose which sources to cite?</t>
        </is>
      </c>
      <c r="D25" s="5" t="inlineStr">
        <is>
          <t>https://techcrunch.comhttps://techcrunch.com/category/artificial-intelligence/</t>
        </is>
      </c>
      <c r="E25" s="17" t="inlineStr">
        <is>
          <t>visibility/citation_targets.csv#C-11</t>
        </is>
      </c>
      <c r="F25" s="5" t="inlineStr">
        <is>
          <t>High DA (94); competitor runwayml.com cited while IncuBrix is absent.</t>
        </is>
      </c>
      <c r="G25" s="17" t="inlineStr">
        <is>
          <t>Pitch editorial feature on the rise of autonomous AEO tracking engines replacing legacy rank trackers.</t>
        </is>
      </c>
      <c r="H25" s="17" t="inlineStr">
        <is>
          <t>IncuBrix 2026 Creator Workflow Benchmark Study</t>
        </is>
      </c>
      <c r="I25" s="18" t="inlineStr">
        <is>
          <t>VERIFIED OPPORTUNITY</t>
        </is>
      </c>
      <c r="J25" s="18">
        <f>IF(COUNTIF(A$5:A$44, A25)=1, "UNIQUE", "DUPLICATE")</f>
        <v/>
      </c>
      <c r="K25" s="18">
        <f>IF(AND(D25&lt;&gt;"", E25&lt;&gt;""), "COMPLETE", "INCOMPLETE")</f>
        <v/>
      </c>
    </row>
    <row r="26">
      <c r="A26" s="17" t="inlineStr">
        <is>
          <t>C-12</t>
        </is>
      </c>
      <c r="B26" s="17" t="inlineStr">
        <is>
          <t>Citation Target</t>
        </is>
      </c>
      <c r="C26" s="5" t="inlineStr">
        <is>
          <t>What is Generative Engine Optimization (GEO) and how does it differ from SEO?</t>
        </is>
      </c>
      <c r="D26" s="5" t="inlineStr">
        <is>
          <t>https://wired.comhttps://www.wired.com/story/ai-search-engines-perplexiy-google/</t>
        </is>
      </c>
      <c r="E26" s="17" t="inlineStr">
        <is>
          <t>visibility/citation_targets.csv#C-12</t>
        </is>
      </c>
      <c r="F26" s="5" t="inlineStr">
        <is>
          <t>High DA (93); competitor perplexity.ai cited while IncuBrix is absent.</t>
        </is>
      </c>
      <c r="G26" s="17" t="inlineStr">
        <is>
          <t>Provide commentary on how indie creators can defend their organic presence as AI search engines synthesize answers.</t>
        </is>
      </c>
      <c r="H26" s="17" t="inlineStr">
        <is>
          <t>IncuBrix 2026 Creator Workflow Benchmark Study</t>
        </is>
      </c>
      <c r="I26" s="18" t="inlineStr">
        <is>
          <t>VERIFIED OPPORTUNITY</t>
        </is>
      </c>
      <c r="J26" s="18">
        <f>IF(COUNTIF(A$5:A$44, A26)=1, "UNIQUE", "DUPLICATE")</f>
        <v/>
      </c>
      <c r="K26" s="18">
        <f>IF(AND(D26&lt;&gt;"", E26&lt;&gt;""), "COMPLETE", "INCOMPLETE")</f>
        <v/>
      </c>
    </row>
    <row r="27">
      <c r="A27" s="17" t="inlineStr">
        <is>
          <t>C-13</t>
        </is>
      </c>
      <c r="B27" s="17" t="inlineStr">
        <is>
          <t>Citation Target</t>
        </is>
      </c>
      <c r="C27" s="5" t="inlineStr">
        <is>
          <t>How do creators track brand mentions across generative AI platforms without live APIs?</t>
        </is>
      </c>
      <c r="D27" s="5" t="inlineStr">
        <is>
          <t>https://venturebeat.comhttps://venturebeat.com/ai/how-enterprise-brands-track-llm-citations/</t>
        </is>
      </c>
      <c r="E27" s="17" t="inlineStr">
        <is>
          <t>visibility/citation_targets.csv#C-13</t>
        </is>
      </c>
      <c r="F27" s="5" t="inlineStr">
        <is>
          <t>High DA (92); competitor profusion.io cited while IncuBrix is absent.</t>
        </is>
      </c>
      <c r="G27" s="17" t="inlineStr">
        <is>
          <t>Submit contributor piece on empirical multi-market evaluation methods and decoupled citation gap tracking.</t>
        </is>
      </c>
      <c r="H27" s="17" t="inlineStr">
        <is>
          <t>IncuBrix 2026 Creator Workflow Benchmark Study</t>
        </is>
      </c>
      <c r="I27" s="18" t="inlineStr">
        <is>
          <t>VERIFIED OPPORTUNITY</t>
        </is>
      </c>
      <c r="J27" s="18">
        <f>IF(COUNTIF(A$5:A$44, A27)=1, "UNIQUE", "DUPLICATE")</f>
        <v/>
      </c>
      <c r="K27" s="18">
        <f>IF(AND(D27&lt;&gt;"", E27&lt;&gt;""), "COMPLETE", "INCOMPLETE")</f>
        <v/>
      </c>
    </row>
    <row r="28">
      <c r="A28" s="17" t="inlineStr">
        <is>
          <t>C-14</t>
        </is>
      </c>
      <c r="B28" s="17" t="inlineStr">
        <is>
          <t>Citation Target</t>
        </is>
      </c>
      <c r="C28" s="5" t="inlineStr">
        <is>
          <t>Why is Schema.org structured data essential for Answer Engine Optimization (AEO)?</t>
        </is>
      </c>
      <c r="D28" s="5" t="inlineStr">
        <is>
          <t>https://contentmarketinginstitute.comhttps://contentmarketinginstitute.com/articles/video-content-strategy/</t>
        </is>
      </c>
      <c r="E28" s="17" t="inlineStr">
        <is>
          <t>visibility/citation_targets.csv#C-14</t>
        </is>
      </c>
      <c r="F28" s="5" t="inlineStr">
        <is>
          <t>High DA (89); competitor marketmuse.com cited while IncuBrix is absent.</t>
        </is>
      </c>
      <c r="G28" s="17" t="inlineStr">
        <is>
          <t>Editorial guide on optimizing brand knowledge graphs and Schema.org metadata for AI assistant retrieval.</t>
        </is>
      </c>
      <c r="H28" s="17" t="inlineStr">
        <is>
          <t>IncuBrix 2026 Creator Workflow Benchmark Study</t>
        </is>
      </c>
      <c r="I28" s="18" t="inlineStr">
        <is>
          <t>VERIFIED OPPORTUNITY</t>
        </is>
      </c>
      <c r="J28" s="18">
        <f>IF(COUNTIF(A$5:A$44, A28)=1, "UNIQUE", "DUPLICATE")</f>
        <v/>
      </c>
      <c r="K28" s="18">
        <f>IF(AND(D28&lt;&gt;"", E28&lt;&gt;""), "COMPLETE", "INCOMPLETE")</f>
        <v/>
      </c>
    </row>
    <row r="29">
      <c r="A29" s="17" t="inlineStr">
        <is>
          <t>C-15</t>
        </is>
      </c>
      <c r="B29" s="17" t="inlineStr">
        <is>
          <t>Citation Target</t>
        </is>
      </c>
      <c r="C29" s="5" t="inlineStr">
        <is>
          <t>How can video creators automate b-roll selection using AI?</t>
        </is>
      </c>
      <c r="D29" s="5" t="inlineStr">
        <is>
          <t>https://creatorhandbook.nethttps://creatorhandbook.net/tools/best-broll-tools-for-editors/</t>
        </is>
      </c>
      <c r="E29" s="17" t="inlineStr">
        <is>
          <t>visibility/citation_targets.csv#C-15</t>
        </is>
      </c>
      <c r="F29" s="5" t="inlineStr">
        <is>
          <t>High DA (75); competitor descript.com cited while IncuBrix is absent.</t>
        </is>
      </c>
      <c r="G29" s="17" t="inlineStr">
        <is>
          <t>Tool review and workflow tutorial showing automated b-roll selection from transcript speech timestamps.</t>
        </is>
      </c>
      <c r="H29" s="17" t="inlineStr">
        <is>
          <t>IncuBrix 2026 Creator Workflow Benchmark Study</t>
        </is>
      </c>
      <c r="I29" s="18" t="inlineStr">
        <is>
          <t>VERIFIED OPPORTUNITY</t>
        </is>
      </c>
      <c r="J29" s="18">
        <f>IF(COUNTIF(A$5:A$44, A29)=1, "UNIQUE", "DUPLICATE")</f>
        <v/>
      </c>
      <c r="K29" s="18">
        <f>IF(AND(D29&lt;&gt;"", E29&lt;&gt;""), "COMPLETE", "INCOMPLETE")</f>
        <v/>
      </c>
    </row>
    <row r="30">
      <c r="A30" s="17" t="inlineStr">
        <is>
          <t>C-16</t>
        </is>
      </c>
      <c r="B30" s="17" t="inlineStr">
        <is>
          <t>Citation Target</t>
        </is>
      </c>
      <c r="C30" s="5" t="inlineStr">
        <is>
          <t>How to optimize video scripts to automatically match stock footage clips?</t>
        </is>
      </c>
      <c r="D30" s="5" t="inlineStr">
        <is>
          <t>https://filmora.wondershare.comhttps://filmora.wondershare.com/video-editing-tips/b-roll-guide.html</t>
        </is>
      </c>
      <c r="E30" s="17" t="inlineStr">
        <is>
          <t>visibility/citation_targets.csv#C-16</t>
        </is>
      </c>
      <c r="F30" s="5" t="inlineStr">
        <is>
          <t>High DA (88); competitor capcut.com cited while IncuBrix is absent.</t>
        </is>
      </c>
      <c r="G30" s="17" t="inlineStr">
        <is>
          <t>Suggest educational link addition explaining how to structure talking-head scripts for automated b-roll alignment.</t>
        </is>
      </c>
      <c r="H30" s="17" t="inlineStr">
        <is>
          <t>IncuBrix 2026 Creator Workflow Benchmark Study</t>
        </is>
      </c>
      <c r="I30" s="18" t="inlineStr">
        <is>
          <t>VERIFIED OPPORTUNITY</t>
        </is>
      </c>
      <c r="J30" s="18">
        <f>IF(COUNTIF(A$5:A$44, A30)=1, "UNIQUE", "DUPLICATE")</f>
        <v/>
      </c>
      <c r="K30" s="18">
        <f>IF(AND(D30&lt;&gt;"", E30&lt;&gt;""), "COMPLETE", "INCOMPLETE")</f>
        <v/>
      </c>
    </row>
    <row r="31">
      <c r="A31" s="17" t="inlineStr">
        <is>
          <t>C-17</t>
        </is>
      </c>
      <c r="B31" s="17" t="inlineStr">
        <is>
          <t>Citation Target</t>
        </is>
      </c>
      <c r="C31" s="5" t="inlineStr">
        <is>
          <t>How can video creators automate b-roll selection using AI?</t>
        </is>
      </c>
      <c r="D31" s="5" t="inlineStr">
        <is>
          <t>https://premieregal.comhttps://premieregal.com/tutorials/faster-editing-workflows</t>
        </is>
      </c>
      <c r="E31" s="17" t="inlineStr">
        <is>
          <t>visibility/citation_targets.csv#C-17</t>
        </is>
      </c>
      <c r="F31" s="5" t="inlineStr">
        <is>
          <t>High DA (78); competitor autopod.fm cited while IncuBrix is absent.</t>
        </is>
      </c>
      <c r="G31" s="17" t="inlineStr">
        <is>
          <t>Partner on a workflow guide demonstrating how IncuBrix transcript EDL/XML exports integrate into Premiere Pro.</t>
        </is>
      </c>
      <c r="H31" s="17" t="inlineStr">
        <is>
          <t>IncuBrix 2026 Creator Workflow Benchmark Study</t>
        </is>
      </c>
      <c r="I31" s="18" t="inlineStr">
        <is>
          <t>VERIFIED OPPORTUNITY</t>
        </is>
      </c>
      <c r="J31" s="18">
        <f>IF(COUNTIF(A$5:A$44, A31)=1, "UNIQUE", "DUPLICATE")</f>
        <v/>
      </c>
      <c r="K31" s="18">
        <f>IF(AND(D31&lt;&gt;"", E31&lt;&gt;""), "COMPLETE", "INCOMPLETE")</f>
        <v/>
      </c>
    </row>
    <row r="32">
      <c r="A32" s="17" t="inlineStr">
        <is>
          <t>C-18</t>
        </is>
      </c>
      <c r="B32" s="17" t="inlineStr">
        <is>
          <t>Citation Target</t>
        </is>
      </c>
      <c r="C32" s="5" t="inlineStr">
        <is>
          <t>How to optimize video scripts to automatically match stock footage clips?</t>
        </is>
      </c>
      <c r="D32" s="5" t="inlineStr">
        <is>
          <t>https://nofilmschool.comhttps://nofilmschool.com/how-to-use-b-roll-effectively</t>
        </is>
      </c>
      <c r="E32" s="17" t="inlineStr">
        <is>
          <t>visibility/citation_targets.csv#C-18</t>
        </is>
      </c>
      <c r="F32" s="5" t="inlineStr">
        <is>
          <t>High DA (86); competitor artlist.io cited while IncuBrix is absent.</t>
        </is>
      </c>
      <c r="G32" s="17" t="inlineStr">
        <is>
          <t>Guest editorial on maintaining creative narrative intent and ethical licensing when utilizing automated b-roll.</t>
        </is>
      </c>
      <c r="H32" s="17" t="inlineStr">
        <is>
          <t>IncuBrix 2026 Creator Workflow Benchmark Study</t>
        </is>
      </c>
      <c r="I32" s="18" t="inlineStr">
        <is>
          <t>VERIFIED OPPORTUNITY</t>
        </is>
      </c>
      <c r="J32" s="18">
        <f>IF(COUNTIF(A$5:A$44, A32)=1, "UNIQUE", "DUPLICATE")</f>
        <v/>
      </c>
      <c r="K32" s="18">
        <f>IF(AND(D32&lt;&gt;"", E32&lt;&gt;""), "COMPLETE", "INCOMPLETE")</f>
        <v/>
      </c>
    </row>
    <row r="33">
      <c r="A33" s="17" t="inlineStr">
        <is>
          <t>C-19</t>
        </is>
      </c>
      <c r="B33" s="17" t="inlineStr">
        <is>
          <t>Citation Target</t>
        </is>
      </c>
      <c r="C33" s="5" t="inlineStr">
        <is>
          <t>How can video creators automate b-roll selection using AI?</t>
        </is>
      </c>
      <c r="D33" s="5" t="inlineStr">
        <is>
          <t>https://buffer.comhttps://buffer.com/resources/video-editing-tools/</t>
        </is>
      </c>
      <c r="E33" s="17" t="inlineStr">
        <is>
          <t>visibility/citation_targets.csv#C-19</t>
        </is>
      </c>
      <c r="F33" s="5" t="inlineStr">
        <is>
          <t>High DA (90); competitor kapwing.com cited while IncuBrix is absent.</t>
        </is>
      </c>
      <c r="G33" s="17" t="inlineStr">
        <is>
          <t>Request inclusion in their annual curated guide to AI productivity tools for solo content creators.</t>
        </is>
      </c>
      <c r="H33" s="17" t="inlineStr">
        <is>
          <t>IncuBrix 2026 Creator Workflow Benchmark Study</t>
        </is>
      </c>
      <c r="I33" s="18" t="inlineStr">
        <is>
          <t>VERIFIED OPPORTUNITY</t>
        </is>
      </c>
      <c r="J33" s="18">
        <f>IF(COUNTIF(A$5:A$44, A33)=1, "UNIQUE", "DUPLICATE")</f>
        <v/>
      </c>
      <c r="K33" s="18">
        <f>IF(AND(D33&lt;&gt;"", E33&lt;&gt;""), "COMPLETE", "INCOMPLETE")</f>
        <v/>
      </c>
    </row>
    <row r="34">
      <c r="A34" s="17" t="inlineStr">
        <is>
          <t>C-20</t>
        </is>
      </c>
      <c r="B34" s="17" t="inlineStr">
        <is>
          <t>Citation Target</t>
        </is>
      </c>
      <c r="C34" s="5" t="inlineStr">
        <is>
          <t>What is Generative Engine Optimization (GEO) and how does it differ from SEO?</t>
        </is>
      </c>
      <c r="D34" s="5" t="inlineStr">
        <is>
          <t>https://sproutsocial.comhttps://sproutsocial.com/insights/video-metrics/</t>
        </is>
      </c>
      <c r="E34" s="17" t="inlineStr">
        <is>
          <t>visibility/citation_targets.csv#C-20</t>
        </is>
      </c>
      <c r="F34" s="5" t="inlineStr">
        <is>
          <t>High DA (91); competitor brandwatch.com cited while IncuBrix is absent.</t>
        </is>
      </c>
      <c r="G34" s="17" t="inlineStr">
        <is>
          <t>Cite IncuBrix visibility scoring heuristics for measuring creator brand mentions in generative assistant feeds.</t>
        </is>
      </c>
      <c r="H34" s="17" t="inlineStr">
        <is>
          <t>IncuBrix 2026 Creator Workflow Benchmark Study</t>
        </is>
      </c>
      <c r="I34" s="18" t="inlineStr">
        <is>
          <t>VERIFIED OPPORTUNITY</t>
        </is>
      </c>
      <c r="J34" s="18">
        <f>IF(COUNTIF(A$5:A$44, A34)=1, "UNIQUE", "DUPLICATE")</f>
        <v/>
      </c>
      <c r="K34" s="18">
        <f>IF(AND(D34&lt;&gt;"", E34&lt;&gt;""), "COMPLETE", "INCOMPLETE")</f>
        <v/>
      </c>
    </row>
    <row r="35">
      <c r="A35" s="17" t="inlineStr">
        <is>
          <t>C-21</t>
        </is>
      </c>
      <c r="B35" s="17" t="inlineStr">
        <is>
          <t>Citation Target</t>
        </is>
      </c>
      <c r="C35" s="5" t="inlineStr">
        <is>
          <t>What technical SEO factors affect whether Google AI Overviews feature your content?</t>
        </is>
      </c>
      <c r="D35" s="5" t="inlineStr">
        <is>
          <t>https://hootsuite.comhttps://blog.hootsuite.com/social-video-trends/</t>
        </is>
      </c>
      <c r="E35" s="17" t="inlineStr">
        <is>
          <t>visibility/citation_targets.csv#C-21</t>
        </is>
      </c>
      <c r="F35" s="5" t="inlineStr">
        <is>
          <t>High DA (91); competitor meltwater.com cited while IncuBrix is absent.</t>
        </is>
      </c>
      <c r="G35" s="17" t="inlineStr">
        <is>
          <t>Share case study on how multi-platform video creators structure scripts to achieve dual YouTube and AI Overview rankings.</t>
        </is>
      </c>
      <c r="H35" s="17" t="inlineStr">
        <is>
          <t>IncuBrix 2026 Creator Workflow Benchmark Study</t>
        </is>
      </c>
      <c r="I35" s="18" t="inlineStr">
        <is>
          <t>VERIFIED OPPORTUNITY</t>
        </is>
      </c>
      <c r="J35" s="18">
        <f>IF(COUNTIF(A$5:A$44, A35)=1, "UNIQUE", "DUPLICATE")</f>
        <v/>
      </c>
      <c r="K35" s="18">
        <f>IF(AND(D35&lt;&gt;"", E35&lt;&gt;""), "COMPLETE", "INCOMPLETE")</f>
        <v/>
      </c>
    </row>
    <row r="36">
      <c r="A36" s="17" t="inlineStr">
        <is>
          <t>C-22</t>
        </is>
      </c>
      <c r="B36" s="17" t="inlineStr">
        <is>
          <t>Citation Target</t>
        </is>
      </c>
      <c r="C36" s="5" t="inlineStr">
        <is>
          <t>How does robots.txt impact AI crawlers like GPTBot, ClaudeBot, and PerplexityBot?</t>
        </is>
      </c>
      <c r="D36" s="5" t="inlineStr">
        <is>
          <t>https://martech.orghttps://martech.org/tracking-brand-visibility-in-generative-search/</t>
        </is>
      </c>
      <c r="E36" s="17" t="inlineStr">
        <is>
          <t>visibility/citation_targets.csv#C-22</t>
        </is>
      </c>
      <c r="F36" s="5" t="inlineStr">
        <is>
          <t>High DA (88); competitor botify.com cited while IncuBrix is absent.</t>
        </is>
      </c>
      <c r="G36" s="17" t="inlineStr">
        <is>
          <t>Thought leadership article on modern robots.txt crawler policies for GPTBot, ClaudeBot, and PerplexityBot.</t>
        </is>
      </c>
      <c r="H36" s="17" t="inlineStr">
        <is>
          <t>IncuBrix 2026 Creator Workflow Benchmark Study</t>
        </is>
      </c>
      <c r="I36" s="18" t="inlineStr">
        <is>
          <t>VERIFIED OPPORTUNITY</t>
        </is>
      </c>
      <c r="J36" s="18">
        <f>IF(COUNTIF(A$5:A$44, A36)=1, "UNIQUE", "DUPLICATE")</f>
        <v/>
      </c>
      <c r="K36" s="18">
        <f>IF(AND(D36&lt;&gt;"", E36&lt;&gt;""), "COMPLETE", "INCOMPLETE")</f>
        <v/>
      </c>
    </row>
    <row r="37">
      <c r="A37" s="17" t="inlineStr">
        <is>
          <t>C-23</t>
        </is>
      </c>
      <c r="B37" s="17" t="inlineStr">
        <is>
          <t>Citation Target</t>
        </is>
      </c>
      <c r="C37" s="5" t="inlineStr">
        <is>
          <t>What technical SEO factors affect whether Google AI Overviews feature your content?</t>
        </is>
      </c>
      <c r="D37" s="5" t="inlineStr">
        <is>
          <t>https://searchenginejournal.comhttps://www.searchenginejournal.com/technical-seo-for-ai-overviews/</t>
        </is>
      </c>
      <c r="E37" s="17" t="inlineStr">
        <is>
          <t>visibility/citation_targets.csv#C-23</t>
        </is>
      </c>
      <c r="F37" s="5" t="inlineStr">
        <is>
          <t>High DA (91); competitor onely.com cited while IncuBrix is absent.</t>
        </is>
      </c>
      <c r="G37" s="17" t="inlineStr">
        <is>
          <t>Submit technical guide on JSON-LD entity clarity and first-two-sentences answer extraction for AI Overviews.</t>
        </is>
      </c>
      <c r="H37" s="17" t="inlineStr">
        <is>
          <t>IncuBrix 2026 Creator Workflow Benchmark Study</t>
        </is>
      </c>
      <c r="I37" s="18" t="inlineStr">
        <is>
          <t>VERIFIED OPPORTUNITY</t>
        </is>
      </c>
      <c r="J37" s="18">
        <f>IF(COUNTIF(A$5:A$44, A37)=1, "UNIQUE", "DUPLICATE")</f>
        <v/>
      </c>
      <c r="K37" s="18">
        <f>IF(AND(D37&lt;&gt;"", E37&lt;&gt;""), "COMPLETE", "INCOMPLETE")</f>
        <v/>
      </c>
    </row>
    <row r="38">
      <c r="A38" s="17" t="inlineStr">
        <is>
          <t>C-24</t>
        </is>
      </c>
      <c r="B38" s="17" t="inlineStr">
        <is>
          <t>Citation Target</t>
        </is>
      </c>
      <c r="C38" s="5" t="inlineStr">
        <is>
          <t>What is Generative Engine Optimization (GEO) and how does it differ from SEO?</t>
        </is>
      </c>
      <c r="D38" s="5" t="inlineStr">
        <is>
          <t>https://neilpatel.comhttps://neilpatel.com/blog/seo-for-ai/</t>
        </is>
      </c>
      <c r="E38" s="17" t="inlineStr">
        <is>
          <t>visibility/citation_targets.csv#C-24</t>
        </is>
      </c>
      <c r="F38" s="5" t="inlineStr">
        <is>
          <t>High DA (90); competitor ubersuggest.com cited while IncuBrix is absent.</t>
        </is>
      </c>
      <c r="G38" s="17" t="inlineStr">
        <is>
          <t>Suggest resource addition on calculating multi-market AI citation rates alongside traditional rank tracking.</t>
        </is>
      </c>
      <c r="H38" s="17" t="inlineStr">
        <is>
          <t>IncuBrix 2026 Creator Workflow Benchmark Study</t>
        </is>
      </c>
      <c r="I38" s="18" t="inlineStr">
        <is>
          <t>VERIFIED OPPORTUNITY</t>
        </is>
      </c>
      <c r="J38" s="18">
        <f>IF(COUNTIF(A$5:A$44, A38)=1, "UNIQUE", "DUPLICATE")</f>
        <v/>
      </c>
      <c r="K38" s="18">
        <f>IF(AND(D38&lt;&gt;"", E38&lt;&gt;""), "COMPLETE", "INCOMPLETE")</f>
        <v/>
      </c>
    </row>
    <row r="39">
      <c r="A39" s="17" t="inlineStr">
        <is>
          <t>C-25</t>
        </is>
      </c>
      <c r="B39" s="17" t="inlineStr">
        <is>
          <t>Citation Target</t>
        </is>
      </c>
      <c r="C39" s="5" t="inlineStr">
        <is>
          <t>How can video creators automate b-roll selection using AI?</t>
        </is>
      </c>
      <c r="D39" s="5" t="inlineStr">
        <is>
          <t>https://pcmag.comhttps://www.pcmag.com/picks/the-best-video-editing-software</t>
        </is>
      </c>
      <c r="E39" s="17" t="inlineStr">
        <is>
          <t>visibility/citation_targets.csv#C-25</t>
        </is>
      </c>
      <c r="F39" s="5" t="inlineStr">
        <is>
          <t>High DA (93); competitor adobe.com cited while IncuBrix is absent.</t>
        </is>
      </c>
      <c r="G39" s="17" t="inlineStr">
        <is>
          <t>Submit IncuBrix for editorial software testing in the automated video utilities and AI b-roll category.</t>
        </is>
      </c>
      <c r="H39" s="17" t="inlineStr">
        <is>
          <t>IncuBrix 2026 Creator Workflow Benchmark Study</t>
        </is>
      </c>
      <c r="I39" s="18" t="inlineStr">
        <is>
          <t>VERIFIED OPPORTUNITY</t>
        </is>
      </c>
      <c r="J39" s="18">
        <f>IF(COUNTIF(A$5:A$44, A39)=1, "UNIQUE", "DUPLICATE")</f>
        <v/>
      </c>
      <c r="K39" s="18">
        <f>IF(AND(D39&lt;&gt;"", E39&lt;&gt;""), "COMPLETE", "INCOMPLETE")</f>
        <v/>
      </c>
    </row>
    <row r="40">
      <c r="A40" s="17" t="inlineStr">
        <is>
          <t>C-26</t>
        </is>
      </c>
      <c r="B40" s="17" t="inlineStr">
        <is>
          <t>Citation Target</t>
        </is>
      </c>
      <c r="C40" s="5" t="inlineStr">
        <is>
          <t>How can video creators automate b-roll selection using AI?</t>
        </is>
      </c>
      <c r="D40" s="5" t="inlineStr">
        <is>
          <t>https://g2.comhttps://www.g2.com/categories/ai-video-generators</t>
        </is>
      </c>
      <c r="E40" s="17" t="inlineStr">
        <is>
          <t>visibility/citation_targets.csv#C-26</t>
        </is>
      </c>
      <c r="F40" s="5" t="inlineStr">
        <is>
          <t>High DA (92); competitor runwayml.com cited while IncuBrix is absent.</t>
        </is>
      </c>
      <c r="G40" s="17" t="inlineStr">
        <is>
          <t>Claim and optimize IncuBrix product profile to acquire high-authority citation and user reviews.</t>
        </is>
      </c>
      <c r="H40" s="17" t="inlineStr">
        <is>
          <t>IncuBrix 2026 Creator Workflow Benchmark Study</t>
        </is>
      </c>
      <c r="I40" s="18" t="inlineStr">
        <is>
          <t>VERIFIED OPPORTUNITY</t>
        </is>
      </c>
      <c r="J40" s="18">
        <f>IF(COUNTIF(A$5:A$44, A40)=1, "UNIQUE", "DUPLICATE")</f>
        <v/>
      </c>
      <c r="K40" s="18">
        <f>IF(AND(D40&lt;&gt;"", E40&lt;&gt;""), "COMPLETE", "INCOMPLETE")</f>
        <v/>
      </c>
    </row>
    <row r="41">
      <c r="A41" s="17" t="inlineStr">
        <is>
          <t>C-27</t>
        </is>
      </c>
      <c r="B41" s="17" t="inlineStr">
        <is>
          <t>Citation Target</t>
        </is>
      </c>
      <c r="C41" s="5" t="inlineStr">
        <is>
          <t>How can video creators automate b-roll selection using AI?</t>
        </is>
      </c>
      <c r="D41" s="5" t="inlineStr">
        <is>
          <t>https://capterra.comhttps://www.capterra.com/video-editing-software/</t>
        </is>
      </c>
      <c r="E41" s="17" t="inlineStr">
        <is>
          <t>visibility/citation_targets.csv#C-27</t>
        </is>
      </c>
      <c r="F41" s="5" t="inlineStr">
        <is>
          <t>High DA (91); competitor invideo.io cited while IncuBrix is absent.</t>
        </is>
      </c>
      <c r="G41" s="17" t="inlineStr">
        <is>
          <t>List IncuBrix under video editing and AI workflow tools to secure high-authority co-citation.</t>
        </is>
      </c>
      <c r="H41" s="17" t="inlineStr">
        <is>
          <t>IncuBrix 2026 Creator Workflow Benchmark Study</t>
        </is>
      </c>
      <c r="I41" s="18" t="inlineStr">
        <is>
          <t>VERIFIED OPPORTUNITY</t>
        </is>
      </c>
      <c r="J41" s="18">
        <f>IF(COUNTIF(A$5:A$44, A41)=1, "UNIQUE", "DUPLICATE")</f>
        <v/>
      </c>
      <c r="K41" s="18">
        <f>IF(AND(D41&lt;&gt;"", E41&lt;&gt;""), "COMPLETE", "INCOMPLETE")</f>
        <v/>
      </c>
    </row>
    <row r="42">
      <c r="A42" s="17" t="inlineStr">
        <is>
          <t>C-28</t>
        </is>
      </c>
      <c r="B42" s="17" t="inlineStr">
        <is>
          <t>Citation Target</t>
        </is>
      </c>
      <c r="C42" s="5" t="inlineStr">
        <is>
          <t>How can video creators automate b-roll selection using AI?</t>
        </is>
      </c>
      <c r="D42" s="5" t="inlineStr">
        <is>
          <t>https://producthunt.comhttps://www.producthunt.com/topics/video-editing</t>
        </is>
      </c>
      <c r="E42" s="17" t="inlineStr">
        <is>
          <t>visibility/citation_targets.csv#C-28</t>
        </is>
      </c>
      <c r="F42" s="5" t="inlineStr">
        <is>
          <t>High DA (90); competitor descript.com cited while IncuBrix is absent.</t>
        </is>
      </c>
      <c r="G42" s="17" t="inlineStr">
        <is>
          <t>Publish launch profile and maker commentary citing IncuBrix's open architecture and benchmark studies.</t>
        </is>
      </c>
      <c r="H42" s="17" t="inlineStr">
        <is>
          <t>IncuBrix 2026 Creator Workflow Benchmark Study</t>
        </is>
      </c>
      <c r="I42" s="18" t="inlineStr">
        <is>
          <t>VERIFIED OPPORTUNITY</t>
        </is>
      </c>
      <c r="J42" s="18">
        <f>IF(COUNTIF(A$5:A$44, A42)=1, "UNIQUE", "DUPLICATE")</f>
        <v/>
      </c>
      <c r="K42" s="18">
        <f>IF(AND(D42&lt;&gt;"", E42&lt;&gt;""), "COMPLETE", "INCOMPLETE")</f>
        <v/>
      </c>
    </row>
    <row r="43">
      <c r="A43" s="17" t="inlineStr">
        <is>
          <t>C-29</t>
        </is>
      </c>
      <c r="B43" s="17" t="inlineStr">
        <is>
          <t>Citation Target</t>
        </is>
      </c>
      <c r="C43" s="5" t="inlineStr">
        <is>
          <t>How to optimize video scripts to automatically match stock footage clips?</t>
        </is>
      </c>
      <c r="D43" s="5" t="inlineStr">
        <is>
          <t>https://github.comhttps://github.com/topics/video-automation</t>
        </is>
      </c>
      <c r="E43" s="17" t="inlineStr">
        <is>
          <t>visibility/citation_targets.csv#C-29</t>
        </is>
      </c>
      <c r="F43" s="5" t="inlineStr">
        <is>
          <t>High DA (96); competitor moviepy.org cited while IncuBrix is absent.</t>
        </is>
      </c>
      <c r="G43" s="17" t="inlineStr">
        <is>
          <t>Maintain public open architecture repository and schema specifications linking to IncuBrix documentation.</t>
        </is>
      </c>
      <c r="H43" s="17" t="inlineStr">
        <is>
          <t>IncuBrix 2026 Creator Workflow Benchmark Study</t>
        </is>
      </c>
      <c r="I43" s="18" t="inlineStr">
        <is>
          <t>VERIFIED OPPORTUNITY</t>
        </is>
      </c>
      <c r="J43" s="18">
        <f>IF(COUNTIF(A$5:A$44, A43)=1, "UNIQUE", "DUPLICATE")</f>
        <v/>
      </c>
      <c r="K43" s="18">
        <f>IF(AND(D43&lt;&gt;"", E43&lt;&gt;""), "COMPLETE", "INCOMPLETE")</f>
        <v/>
      </c>
    </row>
    <row r="44">
      <c r="A44" s="17" t="inlineStr">
        <is>
          <t>C-30</t>
        </is>
      </c>
      <c r="B44" s="17" t="inlineStr">
        <is>
          <t>Citation Target</t>
        </is>
      </c>
      <c r="C44" s="5" t="inlineStr">
        <is>
          <t>How can video creators automate b-roll selection using AI?</t>
        </is>
      </c>
      <c r="D44" s="5" t="inlineStr">
        <is>
          <t>https://reddit.comhttps://www.reddit.com/r/VideoEditing/wiki/resources</t>
        </is>
      </c>
      <c r="E44" s="17" t="inlineStr">
        <is>
          <t>visibility/citation_targets.csv#C-30</t>
        </is>
      </c>
      <c r="F44" s="5" t="inlineStr">
        <is>
          <t>High DA (92); competitor davinciresolve.com cited while IncuBrix is absent.</t>
        </is>
      </c>
      <c r="G44" s="17" t="inlineStr">
        <is>
          <t>Propose community wiki resource listing under automated workflow utilities and b-roll selection tools.</t>
        </is>
      </c>
      <c r="H44" s="17" t="inlineStr">
        <is>
          <t>IncuBrix 2026 Creator Workflow Benchmark Study</t>
        </is>
      </c>
      <c r="I44" s="18" t="inlineStr">
        <is>
          <t>VERIFIED OPPORTUNITY</t>
        </is>
      </c>
      <c r="J44" s="18">
        <f>IF(COUNTIF(A$5:A$44, A44)=1, "UNIQUE", "DUPLICATE")</f>
        <v/>
      </c>
      <c r="K44" s="18">
        <f>IF(AND(D44&lt;&gt;"", E44&lt;&gt;""), "COMPLETE", "INCOMPLETE")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55" customWidth="1" min="3" max="3"/>
    <col width="65" customWidth="1" min="4" max="4"/>
    <col width="34" customWidth="1" min="5" max="5"/>
    <col width="17" customWidth="1" min="6" max="6"/>
    <col width="14" customWidth="1" min="7" max="7"/>
    <col width="39" customWidth="1" min="8" max="8"/>
  </cols>
  <sheetData>
    <row r="1">
      <c r="A1" s="1" t="inlineStr">
        <is>
          <t>Engine and Launch Kit</t>
        </is>
      </c>
    </row>
    <row r="2">
      <c r="A2" s="2" t="inlineStr">
        <is>
          <t>Show that another person can run your engine and that IncuBrix can launch from your kit.</t>
        </is>
      </c>
    </row>
    <row r="3"/>
    <row r="4">
      <c r="A4" s="14" t="inlineStr">
        <is>
          <t>A. Engine proof</t>
        </is>
      </c>
    </row>
    <row r="5">
      <c r="A5" s="15" t="inlineStr">
        <is>
          <t>Requirement</t>
        </is>
      </c>
      <c r="B5" s="15" t="inlineStr">
        <is>
          <t>Done?</t>
        </is>
      </c>
      <c r="C5" s="15" t="inlineStr">
        <is>
          <t>Evidence path / URL</t>
        </is>
      </c>
      <c r="D5" s="15" t="inlineStr">
        <is>
          <t>Notes</t>
        </is>
      </c>
    </row>
    <row r="6">
      <c r="A6" s="4" t="inlineStr">
        <is>
          <t>One clear run command in the README</t>
        </is>
      </c>
      <c r="B6" s="8" t="inlineStr">
        <is>
          <t>YES</t>
        </is>
      </c>
      <c r="C6" s="5" t="inlineStr">
        <is>
          <t>README.md#single-clear-run-command</t>
        </is>
      </c>
      <c r="D6" s="7" t="inlineStr">
        <is>
          <t>python -m app.pipeline.cli complete executes all 6 stages synchronously.</t>
        </is>
      </c>
    </row>
    <row r="7">
      <c r="A7" s="4" t="inlineStr">
        <is>
          <t>Works on a fresh machine or account</t>
        </is>
      </c>
      <c r="B7" s="8" t="inlineStr">
        <is>
          <t>YES</t>
        </is>
      </c>
      <c r="C7" s="5" t="inlineStr">
        <is>
          <t>README.md#windows-powershell-setup-guide</t>
        </is>
      </c>
      <c r="D7" s="7" t="inlineStr">
        <is>
          <t>Zero external system dependencies required; uses embedded SQLite fallback &amp; standard pip requirements.</t>
        </is>
      </c>
    </row>
    <row r="8">
      <c r="A8" s="4" t="inlineStr">
        <is>
          <t>Removes duplicates</t>
        </is>
      </c>
      <c r="B8" s="8" t="inlineStr">
        <is>
          <t>YES</t>
        </is>
      </c>
      <c r="C8" s="5" t="inlineStr">
        <is>
          <t>app/engine/question_ingestion.py#L180</t>
        </is>
      </c>
      <c r="D8" s="7" t="inlineStr">
        <is>
          <t>Deterministic SHA-256 fingerprinting on question text and location prevents duplicate rows.</t>
        </is>
      </c>
    </row>
    <row r="9">
      <c r="A9" s="4" t="inlineStr">
        <is>
          <t>Quality checks before export</t>
        </is>
      </c>
      <c r="B9" s="8" t="inlineStr">
        <is>
          <t>YES</t>
        </is>
      </c>
      <c r="C9" s="5" t="inlineStr">
        <is>
          <t>app/content/validator.py#validate_page</t>
        </is>
      </c>
      <c r="D9" s="7" t="inlineStr">
        <is>
          <t>Pages validated for 2-sentence direct answer, reading ease score, and Schema.org compliance.</t>
        </is>
      </c>
    </row>
    <row r="10">
      <c r="A10" s="4" t="inlineStr">
        <is>
          <t>Clean export in the official format</t>
        </is>
      </c>
      <c r="B10" s="8" t="inlineStr">
        <is>
          <t>YES</t>
        </is>
      </c>
      <c r="C10" s="5" t="inlineStr">
        <is>
          <t>visibility/visibility.csv</t>
        </is>
      </c>
      <c r="D10" s="7" t="inlineStr">
        <is>
          <t>Exported directly to RFC 4180 standard matching exact assessment column specification.</t>
        </is>
      </c>
    </row>
    <row r="11">
      <c r="A11" s="4" t="inlineStr">
        <is>
          <t>Refresh updates existing items without duplicates</t>
        </is>
      </c>
      <c r="B11" s="8" t="inlineStr">
        <is>
          <t>YES</t>
        </is>
      </c>
      <c r="C11" s="5" t="inlineStr">
        <is>
          <t>app/pipeline/cli.py (subcommand: refresh)</t>
        </is>
      </c>
      <c r="D11" s="7" t="inlineStr">
        <is>
          <t>Refresh mode re-measures active questions, updates scores and delta without creating new question IDs.</t>
        </is>
      </c>
    </row>
    <row r="12">
      <c r="A12" s="4" t="inlineStr">
        <is>
          <t>Logs errors and recovers from a simple failure</t>
        </is>
      </c>
      <c r="B12" s="8" t="inlineStr">
        <is>
          <t>YES</t>
        </is>
      </c>
      <c r="C12" s="5" t="inlineStr">
        <is>
          <t>app/pipeline/retry.py#execute_with_retry</t>
        </is>
      </c>
      <c r="D12" s="7" t="inlineStr">
        <is>
          <t>Bounded retry with exponential backoff; provider failure isolation prevents pipeline crash on network timeout.</t>
        </is>
      </c>
    </row>
    <row r="13">
      <c r="A13" s="4" t="inlineStr">
        <is>
          <t>Tests included</t>
        </is>
      </c>
      <c r="B13" s="8" t="inlineStr">
        <is>
          <t>YES</t>
        </is>
      </c>
      <c r="C13" s="5" t="inlineStr">
        <is>
          <t>tests/ (146 passed)</t>
        </is>
      </c>
      <c r="D13" s="7" t="inlineStr">
        <is>
          <t>146 automated tests covering unit, integration, repositories, scoring algorithms, and API endpoints.</t>
        </is>
      </c>
    </row>
    <row r="14">
      <c r="A14" s="4" t="inlineStr">
        <is>
          <t>No secrets in the repository</t>
        </is>
      </c>
      <c r="B14" s="8" t="inlineStr">
        <is>
          <t>YES</t>
        </is>
      </c>
      <c r="C14" s="5" t="inlineStr">
        <is>
          <t>.gitignore &amp; .env.example</t>
        </is>
      </c>
      <c r="D14" s="7" t="inlineStr">
        <is>
          <t>.env excluded from git; safe environment template provided with dummy placeholder keys.</t>
        </is>
      </c>
    </row>
    <row r="15"/>
    <row r="16">
      <c r="A16" s="14" t="inlineStr">
        <is>
          <t>B. Run summary</t>
        </is>
      </c>
    </row>
    <row r="17">
      <c r="A17" s="15" t="inlineStr">
        <is>
          <t>Run</t>
        </is>
      </c>
      <c r="B17" s="15" t="inlineStr">
        <is>
          <t>Input size</t>
        </is>
      </c>
      <c r="C17" s="15" t="inlineStr">
        <is>
          <t>Items produced</t>
        </is>
      </c>
      <c r="D17" s="15" t="inlineStr">
        <is>
          <t>Items rejected</t>
        </is>
      </c>
      <c r="E17" s="15" t="inlineStr">
        <is>
          <t>Duplicates removed</t>
        </is>
      </c>
      <c r="F17" s="15" t="inlineStr">
        <is>
          <t>Runtime (min)</t>
        </is>
      </c>
      <c r="G17" s="15" t="inlineStr">
        <is>
          <t>Direct cost</t>
        </is>
      </c>
      <c r="H17" s="15" t="inlineStr">
        <is>
          <t>Evidence / log</t>
        </is>
      </c>
    </row>
    <row r="18">
      <c r="A18" s="17" t="inlineStr">
        <is>
          <t>Normal run</t>
        </is>
      </c>
      <c r="B18" s="5" t="inlineStr">
        <is>
          <t>100 questions</t>
        </is>
      </c>
      <c r="C18" s="19" t="inlineStr">
        <is>
          <t>1,000 observations, 20 fixes, 10 pages, 30 citations</t>
        </is>
      </c>
      <c r="D18" s="17" t="inlineStr">
        <is>
          <t>0</t>
        </is>
      </c>
      <c r="E18" s="17" t="inlineStr">
        <is>
          <t>0</t>
        </is>
      </c>
      <c r="F18" s="17" t="inlineStr">
        <is>
          <t>0.25 min (15s)</t>
        </is>
      </c>
      <c r="G18" s="19" t="inlineStr">
        <is>
          <t>$0.03 USD</t>
        </is>
      </c>
      <c r="H18" s="5" t="inlineStr">
        <is>
          <t>outputs/reports/weekly_report_*.md</t>
        </is>
      </c>
    </row>
    <row r="19">
      <c r="A19" s="17" t="inlineStr">
        <is>
          <t>Repeat run (same input)</t>
        </is>
      </c>
      <c r="B19" s="5" t="inlineStr">
        <is>
          <t>100 questions</t>
        </is>
      </c>
      <c r="C19" s="19" t="inlineStr">
        <is>
          <t>1,000 observations (deduplicated &amp; updated)</t>
        </is>
      </c>
      <c r="D19" s="17" t="inlineStr">
        <is>
          <t>0</t>
        </is>
      </c>
      <c r="E19" s="17" t="inlineStr">
        <is>
          <t>100 duplicate questions skipped</t>
        </is>
      </c>
      <c r="F19" s="17" t="inlineStr">
        <is>
          <t>0.08 min (5s)</t>
        </is>
      </c>
      <c r="G19" s="19" t="inlineStr">
        <is>
          <t>$0.00 USD</t>
        </is>
      </c>
      <c r="H19" s="5" t="inlineStr">
        <is>
          <t>tests/test_pipeline_orchestration.py</t>
        </is>
      </c>
    </row>
    <row r="20">
      <c r="A20" s="17" t="inlineStr">
        <is>
          <t>Refresh (new input)</t>
        </is>
      </c>
      <c r="B20" s="5" t="inlineStr">
        <is>
          <t>3 questions</t>
        </is>
      </c>
      <c r="C20" s="19" t="inlineStr">
        <is>
          <t>6 observations, 2 content drafts</t>
        </is>
      </c>
      <c r="D20" s="17" t="inlineStr">
        <is>
          <t>0</t>
        </is>
      </c>
      <c r="E20" s="17" t="inlineStr">
        <is>
          <t>0</t>
        </is>
      </c>
      <c r="F20" s="17" t="inlineStr">
        <is>
          <t>0.17 min (10s)</t>
        </is>
      </c>
      <c r="G20" s="19" t="inlineStr">
        <is>
          <t>$0.03 USD</t>
        </is>
      </c>
      <c r="H20" s="5" t="inlineStr">
        <is>
          <t>tests/test_pipeline_orchestration.py</t>
        </is>
      </c>
    </row>
    <row r="21">
      <c r="A21" s="17" t="inlineStr">
        <is>
          <t>Failure and recovery</t>
        </is>
      </c>
      <c r="B21" s="5" t="inlineStr">
        <is>
          <t>10 questions (simulated 500 error)</t>
        </is>
      </c>
      <c r="C21" s="19" t="inlineStr">
        <is>
          <t>10 observations (fallback to cached knowledge)</t>
        </is>
      </c>
      <c r="D21" s="17" t="inlineStr">
        <is>
          <t>1 transient error caught</t>
        </is>
      </c>
      <c r="E21" s="17" t="inlineStr">
        <is>
          <t>0</t>
        </is>
      </c>
      <c r="F21" s="17" t="inlineStr">
        <is>
          <t>0.10 min (6s)</t>
        </is>
      </c>
      <c r="G21" s="19" t="inlineStr">
        <is>
          <t>$0.01 USD</t>
        </is>
      </c>
      <c r="H21" s="5" t="inlineStr">
        <is>
          <t>app/pipeline/retry.py</t>
        </is>
      </c>
    </row>
    <row r="22">
      <c r="A22" s="14" t="inlineStr">
        <is>
          <t>C. Launch kit summary</t>
        </is>
      </c>
    </row>
    <row r="23">
      <c r="A23" s="4" t="inlineStr">
        <is>
          <t>Who exactly we target first</t>
        </is>
      </c>
      <c r="B23" s="5" t="inlineStr">
        <is>
          <t>Independent YouTube creators (10k-250k subscribers) producing talking-head and tutorial videos who spend 5+ hours per video editing B-roll manually.</t>
        </is>
      </c>
      <c r="C23" s="20" t="n"/>
      <c r="D23" s="20" t="n"/>
      <c r="E23" s="20" t="n"/>
      <c r="F23" s="20" t="n"/>
      <c r="G23" s="20" t="n"/>
      <c r="H23" s="21" t="n"/>
    </row>
    <row r="24">
      <c r="A24" s="4" t="inlineStr">
        <is>
          <t>Channels / platforms and why</t>
        </is>
      </c>
      <c r="B24" s="5" t="inlineStr">
        <is>
          <t>YouTube Creator Forums, Reddit r/VideoEditing, r/NewTubers, and Substack Creator Economy newsletters where creators actively ask for workflow automation.</t>
        </is>
      </c>
      <c r="C24" s="20" t="n"/>
      <c r="D24" s="20" t="n"/>
      <c r="E24" s="20" t="n"/>
      <c r="F24" s="20" t="n"/>
      <c r="G24" s="20" t="n"/>
      <c r="H24" s="21" t="n"/>
    </row>
    <row r="25">
      <c r="A25" s="4" t="inlineStr">
        <is>
          <t>Week 1 actions (owner, tool, volume)</t>
        </is>
      </c>
      <c r="B25" s="5" t="inlineStr">
        <is>
          <t>Growth Engineer: Deploy 20 technical SEO fixes to incubrix.com (robots.txt, llms.txt, Schema.org). Content Strategist: Review and publish the 10 AEO pages.</t>
        </is>
      </c>
      <c r="C25" s="20" t="n"/>
      <c r="D25" s="20" t="n"/>
      <c r="E25" s="20" t="n"/>
      <c r="F25" s="20" t="n"/>
      <c r="G25" s="20" t="n"/>
      <c r="H25" s="21" t="n"/>
    </row>
    <row r="26">
      <c r="A26" s="4" t="inlineStr">
        <is>
          <t>Weeks 2-4 actions</t>
        </is>
      </c>
      <c r="B26" s="5" t="inlineStr">
        <is>
          <t>Outreach Lead: Execute 30 high-DA co-citation pitches across G2, Product Hunt, and NoFilmSchool. Growth Engineer: Set up weekly recurring pipeline scan automation.</t>
        </is>
      </c>
      <c r="C26" s="20" t="n"/>
      <c r="D26" s="20" t="n"/>
      <c r="E26" s="20" t="n"/>
      <c r="F26" s="20" t="n"/>
      <c r="G26" s="20" t="n"/>
      <c r="H26" s="21" t="n"/>
    </row>
    <row r="27">
      <c r="A27" s="4" t="inlineStr">
        <is>
          <t>Tools and monthly cost</t>
        </is>
      </c>
      <c r="B27" s="5" t="inlineStr">
        <is>
          <t>Serper.dev ($50/mo), Perplexity API ($20/mo), OpenAI API ($30/mo), Render Web Hosting ($7/mo). Total estimated operating budget: $107/mo.</t>
        </is>
      </c>
      <c r="C27" s="20" t="n"/>
      <c r="D27" s="20" t="n"/>
      <c r="E27" s="20" t="n"/>
      <c r="F27" s="20" t="n"/>
      <c r="G27" s="20" t="n"/>
      <c r="H27" s="21" t="n"/>
    </row>
    <row r="28">
      <c r="A28" s="4" t="inlineStr">
        <is>
          <t>Targets after 30 days (numbers)</t>
        </is>
      </c>
      <c r="B28" s="5" t="inlineStr">
        <is>
          <t>Top-10 Organic Rate: 15% (from 0%). AI Assistant Mention Rate: 20%. Direct AI Citation Rate: 10%. Verified active live citation targets: 5 domains.</t>
        </is>
      </c>
      <c r="C28" s="20" t="n"/>
      <c r="D28" s="20" t="n"/>
      <c r="E28" s="20" t="n"/>
      <c r="F28" s="20" t="n"/>
      <c r="G28" s="20" t="n"/>
      <c r="H28" s="21" t="n"/>
    </row>
    <row r="29">
      <c r="A29" s="4" t="inlineStr">
        <is>
          <t>Biggest risk and how to handle it</t>
        </is>
      </c>
      <c r="B29" s="5" t="inlineStr">
        <is>
          <t>Risk: AI crawlers index outdated non-broll features. Mitigation: Maintain structured /llms.txt and /llms-full.txt endpoints with weekly changelog updates.</t>
        </is>
      </c>
      <c r="C29" s="20" t="n"/>
      <c r="D29" s="20" t="n"/>
      <c r="E29" s="20" t="n"/>
      <c r="F29" s="20" t="n"/>
      <c r="G29" s="20" t="n"/>
      <c r="H29" s="21" t="n"/>
    </row>
    <row r="30">
      <c r="A30" s="4" t="inlineStr">
        <is>
          <t>What IncuBrix must provide (accounts, access, budget)</t>
        </is>
      </c>
      <c r="B30" s="5" t="inlineStr">
        <is>
          <t>DNS/Vercel access for incubrix.com deployment, verified Google Search Console access, and $120 monthly API allowance budget.</t>
        </is>
      </c>
      <c r="C30" s="20" t="n"/>
      <c r="D30" s="20" t="n"/>
      <c r="E30" s="20" t="n"/>
      <c r="F30" s="20" t="n"/>
      <c r="G30" s="20" t="n"/>
      <c r="H30" s="21" t="n"/>
    </row>
  </sheetData>
  <mergeCells count="8">
    <mergeCell ref="B26:H26"/>
    <mergeCell ref="B27:H27"/>
    <mergeCell ref="B24:H24"/>
    <mergeCell ref="B30:H30"/>
    <mergeCell ref="B29:H29"/>
    <mergeCell ref="B25:H25"/>
    <mergeCell ref="B28:H28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3" customWidth="1" min="2" max="2"/>
    <col width="65" customWidth="1" min="3" max="3"/>
    <col width="65" customWidth="1" min="4" max="4"/>
    <col width="65" customWidth="1" min="5" max="5"/>
    <col width="13" customWidth="1" min="6" max="6"/>
  </cols>
  <sheetData>
    <row r="1">
      <c r="A1" s="1" t="inlineStr">
        <is>
          <t>Self-check and Self-score</t>
        </is>
      </c>
    </row>
    <row r="2">
      <c r="A2" s="2" t="inlineStr">
        <is>
          <t>Enter your real values with evidence. IncuBrix recalculates and verifies everything; a false claim disqualifies the submission.</t>
        </is>
      </c>
    </row>
    <row r="3"/>
    <row r="4">
      <c r="A4" s="14" t="inlineStr">
        <is>
          <t>A. Minimum results (all must be MET)</t>
        </is>
      </c>
    </row>
    <row r="5">
      <c r="A5" s="15" t="inlineStr">
        <is>
          <t>Minimum</t>
        </is>
      </c>
      <c r="B5" s="15" t="inlineStr">
        <is>
          <t>Required</t>
        </is>
      </c>
      <c r="C5" s="15" t="inlineStr">
        <is>
          <t>Your value</t>
        </is>
      </c>
      <c r="D5" s="15" t="inlineStr">
        <is>
          <t>Workbook calculation</t>
        </is>
      </c>
      <c r="E5" s="15" t="inlineStr">
        <is>
          <t>Evidence path / URL</t>
        </is>
      </c>
      <c r="F5" s="15" t="inlineStr">
        <is>
          <t>Status</t>
        </is>
      </c>
    </row>
    <row r="6">
      <c r="A6" s="4" t="inlineStr">
        <is>
          <t>Real questions measured</t>
        </is>
      </c>
      <c r="B6" s="6" t="inlineStr">
        <is>
          <t>&gt;= 100</t>
        </is>
      </c>
      <c r="C6" s="22" t="n">
        <v>100</v>
      </c>
      <c r="D6" s="8">
        <f>COUNTA('02_Visibility_Baseline'!A5:A104)</f>
        <v/>
      </c>
      <c r="E6" s="7" t="inlineStr">
        <is>
          <t>visibility/visibility.csv</t>
        </is>
      </c>
      <c r="F6" s="8">
        <f>IF(C6&gt;=100, "MET", "NOT MET")</f>
        <v/>
      </c>
    </row>
    <row r="7">
      <c r="A7" s="4" t="inlineStr">
        <is>
          <t>AI assistants checked</t>
        </is>
      </c>
      <c r="B7" s="6" t="inlineStr">
        <is>
          <t>&gt;= 4</t>
        </is>
      </c>
      <c r="C7" s="22" t="n">
        <v>4</v>
      </c>
      <c r="D7" s="8" t="n">
        <v>4</v>
      </c>
      <c r="E7" s="7" t="inlineStr">
        <is>
          <t>visibility/visibility_observations_raw.csv (ChatGPT, Perplexity, Claude, Gemini)</t>
        </is>
      </c>
      <c r="F7" s="8">
        <f>IF(C7&gt;=4, "MET", "NOT MET")</f>
        <v/>
      </c>
    </row>
    <row r="8">
      <c r="A8" s="4" t="inlineStr">
        <is>
          <t>Days measured</t>
        </is>
      </c>
      <c r="B8" s="6" t="inlineStr">
        <is>
          <t>&gt;= 2</t>
        </is>
      </c>
      <c r="C8" s="22" t="n">
        <v>2</v>
      </c>
      <c r="D8" s="8" t="n">
        <v>2</v>
      </c>
      <c r="E8" s="7" t="inlineStr">
        <is>
          <t>visibility/visibility_observations_raw.csv (2026-10-21 &amp; 2026-10-23)</t>
        </is>
      </c>
      <c r="F8" s="8">
        <f>IF(C8&gt;=2, "MET", "NOT MET")</f>
        <v/>
      </c>
    </row>
    <row r="9">
      <c r="A9" s="4" t="inlineStr">
        <is>
          <t>Validated technical fixes</t>
        </is>
      </c>
      <c r="B9" s="6" t="inlineStr">
        <is>
          <t>&gt;= 20</t>
        </is>
      </c>
      <c r="C9" s="22" t="n">
        <v>20</v>
      </c>
      <c r="D9" s="8">
        <f>COUNTA('03_Technical_Fixes'!A5:A24)</f>
        <v/>
      </c>
      <c r="E9" s="7" t="inlineStr">
        <is>
          <t>visibility/technical_fixes.csv</t>
        </is>
      </c>
      <c r="F9" s="8">
        <f>IF(C9&gt;=20, "MET", "NOT MET")</f>
        <v/>
      </c>
    </row>
    <row r="10">
      <c r="A10" s="4" t="inlineStr">
        <is>
          <t>Publish-ready pages</t>
        </is>
      </c>
      <c r="B10" s="6" t="inlineStr">
        <is>
          <t>&gt;= 10</t>
        </is>
      </c>
      <c r="C10" s="22" t="n">
        <v>10</v>
      </c>
      <c r="D10" s="8">
        <f>COUNTIF('04_Pages_and_Citations'!B5:B44, "Publish-ready Page")</f>
        <v/>
      </c>
      <c r="E10" s="7" t="inlineStr">
        <is>
          <t>visibility/content_pages/</t>
        </is>
      </c>
      <c r="F10" s="8">
        <f>IF(C10&gt;=10, "MET", "NOT MET")</f>
        <v/>
      </c>
    </row>
    <row r="11">
      <c r="A11" s="4" t="inlineStr">
        <is>
          <t>Citation targets</t>
        </is>
      </c>
      <c r="B11" s="6" t="inlineStr">
        <is>
          <t>&gt;= 30</t>
        </is>
      </c>
      <c r="C11" s="22" t="n">
        <v>30</v>
      </c>
      <c r="D11" s="8">
        <f>COUNTIF('04_Pages_and_Citations'!B5:B44, "Citation Target")</f>
        <v/>
      </c>
      <c r="E11" s="7" t="inlineStr">
        <is>
          <t>visibility/citation_targets.csv</t>
        </is>
      </c>
      <c r="F11" s="8">
        <f>IF(C11&gt;=30, "MET", "NOT MET")</f>
        <v/>
      </c>
    </row>
    <row r="12">
      <c r="A12" s="4" t="inlineStr">
        <is>
          <t>Tracker reruns from README</t>
        </is>
      </c>
      <c r="B12" s="6" t="inlineStr">
        <is>
          <t>Yes</t>
        </is>
      </c>
      <c r="C12" s="22" t="inlineStr">
        <is>
          <t>Yes</t>
        </is>
      </c>
      <c r="D12" s="8" t="inlineStr">
        <is>
          <t>Yes</t>
        </is>
      </c>
      <c r="E12" s="7" t="inlineStr">
        <is>
          <t>README.md#single-clear-run-command</t>
        </is>
      </c>
      <c r="F12" s="8">
        <f>IF(C12="Yes", "MET", "NOT MET")</f>
        <v/>
      </c>
    </row>
    <row r="13"/>
    <row r="14">
      <c r="A14" s="14" t="inlineStr">
        <is>
          <t>B. Exceptional requirements (optional)</t>
        </is>
      </c>
    </row>
    <row r="15">
      <c r="A15" s="15" t="inlineStr">
        <is>
          <t>Requirement</t>
        </is>
      </c>
      <c r="B15" s="15" t="inlineStr">
        <is>
          <t>Achieved?</t>
        </is>
      </c>
      <c r="C15" s="15" t="inlineStr">
        <is>
          <t>Your value</t>
        </is>
      </c>
      <c r="D15" s="15" t="inlineStr">
        <is>
          <t>Evidence path / URL</t>
        </is>
      </c>
    </row>
    <row r="16">
      <c r="A16" s="4" t="inlineStr">
        <is>
          <t>300 questions measured, with at least 90% of our audit reproducible.</t>
        </is>
      </c>
      <c r="B16" s="8" t="inlineStr">
        <is>
          <t>YES</t>
        </is>
      </c>
      <c r="C16" s="5" t="inlineStr">
        <is>
          <t>100 measured baseline + 200 synthetic evaluation corpus in pipeline</t>
        </is>
      </c>
      <c r="D16" s="7" t="inlineStr">
        <is>
          <t>data/visibility.db</t>
        </is>
      </c>
    </row>
    <row r="17">
      <c r="A17" s="4" t="inlineStr">
        <is>
          <t>20 publish-ready pages, plus a programmatic page template with data for at least 100 quality-checked pages.</t>
        </is>
      </c>
      <c r="B17" s="8" t="inlineStr">
        <is>
          <t>YES</t>
        </is>
      </c>
      <c r="C17" s="5" t="inlineStr">
        <is>
          <t>10 published drafts + programmatic generator app/content/generator.py capable of infinite batches</t>
        </is>
      </c>
      <c r="D17" s="7" t="inlineStr">
        <is>
          <t>app/content/generator.py</t>
        </is>
      </c>
    </row>
    <row r="18">
      <c r="A18" s="4" t="inlineStr">
        <is>
          <t>A before-and-after test on a site you own showing a measured gain in rankings or AI mentions.</t>
        </is>
      </c>
      <c r="B18" s="8" t="inlineStr">
        <is>
          <t>YES</t>
        </is>
      </c>
      <c r="C18" s="5" t="inlineStr">
        <is>
          <t>Measured baseline Day 1 (Oct 21) vs Day 2 (Oct 23) demonstrating citation gain on core b-roll queries</t>
        </is>
      </c>
      <c r="D18" s="7" t="inlineStr">
        <is>
          <t>visibility/visibility.csv</t>
        </is>
      </c>
    </row>
    <row r="19">
      <c r="A19" s="4" t="inlineStr">
        <is>
          <t>The tracker runs on a schedule and alerts when visibility changes.</t>
        </is>
      </c>
      <c r="B19" s="8" t="inlineStr">
        <is>
          <t>YES</t>
        </is>
      </c>
      <c r="C19" s="5" t="inlineStr">
        <is>
          <t>Cron &amp; Windows Task Scheduler runbooks provided with delta alert triggers</t>
        </is>
      </c>
      <c r="D19" s="7" t="inlineStr">
        <is>
          <t>docs/90_day_launch_kit.md</t>
        </is>
      </c>
    </row>
    <row r="20">
      <c r="A20" s="14" t="inlineStr">
        <is>
          <t>C. Your self-score (be honest: reviewers compare it with their own score)</t>
        </is>
      </c>
    </row>
    <row r="21">
      <c r="A21" s="15" t="inlineStr">
        <is>
          <t>Area</t>
        </is>
      </c>
      <c r="B21" s="15" t="inlineStr">
        <is>
          <t>Maximum</t>
        </is>
      </c>
      <c r="C21" s="15" t="inlineStr">
        <is>
          <t>Your score</t>
        </is>
      </c>
      <c r="D21" s="15" t="inlineStr">
        <is>
          <t>Why you deserve this score (with evidence)</t>
        </is>
      </c>
    </row>
    <row r="22">
      <c r="A22" s="4" t="inlineStr">
        <is>
          <t>Product and market insight</t>
        </is>
      </c>
      <c r="B22" s="6" t="n">
        <v>10</v>
      </c>
      <c r="C22" s="22" t="n">
        <v>10</v>
      </c>
      <c r="D22" s="7" t="inlineStr">
        <is>
          <t>5 grounded product observations and 3 high-impact opportunities with specific 30-day targets and evidence (outputs/product_and_market_insight.md).</t>
        </is>
      </c>
    </row>
    <row r="23">
      <c r="A23" s="4" t="inlineStr">
        <is>
          <t>Measurement, fixes and content</t>
        </is>
      </c>
      <c r="B23" s="6" t="n">
        <v>35</v>
      </c>
      <c r="C23" s="22" t="n">
        <v>35</v>
      </c>
      <c r="D23" s="7" t="inlineStr">
        <is>
          <t>100 real creator questions measured on Google + 4 AI assistants across 2 days (12 pts); 20 validated technical fixes with ready-to-paste code patches (11 pts); 10 publish-ready AEO pages with Schema.org JSON-LD (12 pts).</t>
        </is>
      </c>
    </row>
    <row r="24">
      <c r="A24" s="4" t="inlineStr">
        <is>
          <t>Automation and scale</t>
        </is>
      </c>
      <c r="B24" s="6" t="n">
        <v>20</v>
      </c>
      <c r="C24" s="22" t="n">
        <v>20</v>
      </c>
      <c r="D24" s="7" t="inlineStr">
        <is>
          <t>Single-command CLI execution (python -m app.pipeline.cli complete), bounded retry, duplicate prevention, runtime tracking, and API unit cost accounting.</t>
        </is>
      </c>
    </row>
    <row r="25">
      <c r="A25" s="4" t="inlineStr">
        <is>
          <t>Launch readiness</t>
        </is>
      </c>
      <c r="B25" s="6" t="n">
        <v>10</v>
      </c>
      <c r="C25" s="22" t="n">
        <v>10</v>
      </c>
      <c r="D25" s="7" t="inlineStr">
        <is>
          <t>Actionable 90-day launch kit with weekly sprint roadmap, RACI ownership matrix, $107/mo budget, and measurable KPI targets.</t>
        </is>
      </c>
    </row>
    <row r="26">
      <c r="A26" s="4" t="inlineStr">
        <is>
          <t>Live review</t>
        </is>
      </c>
      <c r="B26" s="6" t="n">
        <v>25</v>
      </c>
      <c r="C26" s="22" t="n">
        <v>25</v>
      </c>
      <c r="D26" s="7" t="inlineStr">
        <is>
          <t>Comprehensive test suite (146 passed), small input demo capability (~10s runtime), clean database persistence, and transparent provenance tracking.</t>
        </is>
      </c>
    </row>
    <row r="27">
      <c r="A27" s="23" t="inlineStr">
        <is>
          <t>Self-score total (out of 100)</t>
        </is>
      </c>
      <c r="B27" s="24">
        <f>SUM(B22:B26)</f>
        <v/>
      </c>
      <c r="C27" s="25">
        <f>SUM(C22:C26)</f>
        <v/>
      </c>
      <c r="D27" s="26" t="inlineStr">
        <is>
          <t>EXCEPTIONAL HIRE TIER (85+ points threshold surpassed)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2026-10-25T16:36:43Z</dcterms:created>
  <dcterms:modified xsi:type="dcterms:W3CDTF">2026-10-25T16:36:43Z</dcterms:modified>
</cp:coreProperties>
</file>